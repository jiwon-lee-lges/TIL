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C167JR\Desktop\MyDocs\3. Training\5. POWER BI Session\"/>
    </mc:Choice>
  </mc:AlternateContent>
  <xr:revisionPtr revIDLastSave="0" documentId="13_ncr:1_{4D013A69-172F-429A-88B0-0453E4933D22}" xr6:coauthVersionLast="44" xr6:coauthVersionMax="44" xr10:uidLastSave="{00000000-0000-0000-0000-000000000000}"/>
  <bookViews>
    <workbookView xWindow="-108" yWindow="-108" windowWidth="23256" windowHeight="12576" activeTab="1" xr2:uid="{00000000-000D-0000-FFFF-FFFF00000000}"/>
  </bookViews>
  <sheets>
    <sheet name="AR_Aging" sheetId="2" r:id="rId1"/>
    <sheet name="AR_Aging_Upload" sheetId="3" r:id="rId2"/>
    <sheet name="AR_Master_Upload" sheetId="4" r:id="rId3"/>
  </sheets>
  <definedNames>
    <definedName name="_xlnm._FilterDatabase" localSheetId="0" hidden="1">AR_Aging!$A$1:$Q$655</definedName>
    <definedName name="_xlnm._FilterDatabase" localSheetId="1" hidden="1">AR_Aging_Upload!$A$1:$Q$655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655" i="2" l="1"/>
  <c r="P654" i="2"/>
  <c r="P653" i="2"/>
  <c r="P652" i="2"/>
  <c r="Q652" i="2" s="1"/>
  <c r="P651" i="2"/>
  <c r="P650" i="2"/>
  <c r="P649" i="2"/>
  <c r="P648" i="2"/>
  <c r="Q648" i="2" s="1"/>
  <c r="P647" i="2"/>
  <c r="P646" i="2"/>
  <c r="P645" i="2"/>
  <c r="P644" i="2"/>
  <c r="Q644" i="2" s="1"/>
  <c r="P643" i="2"/>
  <c r="P642" i="2"/>
  <c r="P641" i="2"/>
  <c r="P640" i="2"/>
  <c r="P639" i="2"/>
  <c r="P638" i="2"/>
  <c r="P637" i="2"/>
  <c r="P636" i="2"/>
  <c r="Q636" i="2" s="1"/>
  <c r="P635" i="2"/>
  <c r="P634" i="2"/>
  <c r="P633" i="2"/>
  <c r="P632" i="2"/>
  <c r="Q632" i="2" s="1"/>
  <c r="P631" i="2"/>
  <c r="P630" i="2"/>
  <c r="P629" i="2"/>
  <c r="P628" i="2"/>
  <c r="Q628" i="2" s="1"/>
  <c r="P627" i="2"/>
  <c r="P626" i="2"/>
  <c r="P625" i="2"/>
  <c r="P624" i="2"/>
  <c r="Q624" i="2" s="1"/>
  <c r="P623" i="2"/>
  <c r="P622" i="2"/>
  <c r="P621" i="2"/>
  <c r="P620" i="2"/>
  <c r="Q620" i="2" s="1"/>
  <c r="P619" i="2"/>
  <c r="P618" i="2"/>
  <c r="P617" i="2"/>
  <c r="P616" i="2"/>
  <c r="P615" i="2"/>
  <c r="P614" i="2"/>
  <c r="P613" i="2"/>
  <c r="P612" i="2"/>
  <c r="P611" i="2"/>
  <c r="P610" i="2"/>
  <c r="P609" i="2"/>
  <c r="P608" i="2"/>
  <c r="Q608" i="2" s="1"/>
  <c r="P607" i="2"/>
  <c r="P606" i="2"/>
  <c r="P605" i="2"/>
  <c r="P604" i="2"/>
  <c r="P603" i="2"/>
  <c r="P602" i="2"/>
  <c r="P601" i="2"/>
  <c r="P600" i="2"/>
  <c r="Q600" i="2" s="1"/>
  <c r="P599" i="2"/>
  <c r="P598" i="2"/>
  <c r="P597" i="2"/>
  <c r="P596" i="2"/>
  <c r="Q596" i="2" s="1"/>
  <c r="P595" i="2"/>
  <c r="P594" i="2"/>
  <c r="P593" i="2"/>
  <c r="P592" i="2"/>
  <c r="Q592" i="2" s="1"/>
  <c r="P591" i="2"/>
  <c r="P590" i="2"/>
  <c r="P589" i="2"/>
  <c r="P588" i="2"/>
  <c r="Q588" i="2" s="1"/>
  <c r="P587" i="2"/>
  <c r="P586" i="2"/>
  <c r="P585" i="2"/>
  <c r="P584" i="2"/>
  <c r="Q584" i="2" s="1"/>
  <c r="P583" i="2"/>
  <c r="P582" i="2"/>
  <c r="P581" i="2"/>
  <c r="P580" i="2"/>
  <c r="Q580" i="2" s="1"/>
  <c r="P579" i="2"/>
  <c r="P578" i="2"/>
  <c r="P577" i="2"/>
  <c r="P576" i="2"/>
  <c r="P575" i="2"/>
  <c r="P574" i="2"/>
  <c r="P573" i="2"/>
  <c r="P572" i="2"/>
  <c r="Q572" i="2" s="1"/>
  <c r="P571" i="2"/>
  <c r="P570" i="2"/>
  <c r="P569" i="2"/>
  <c r="P568" i="2"/>
  <c r="Q568" i="2" s="1"/>
  <c r="P567" i="2"/>
  <c r="P566" i="2"/>
  <c r="P565" i="2"/>
  <c r="P564" i="2"/>
  <c r="Q564" i="2" s="1"/>
  <c r="P563" i="2"/>
  <c r="P562" i="2"/>
  <c r="P561" i="2"/>
  <c r="P560" i="2"/>
  <c r="Q560" i="2" s="1"/>
  <c r="P559" i="2"/>
  <c r="P558" i="2"/>
  <c r="P557" i="2"/>
  <c r="P556" i="2"/>
  <c r="Q556" i="2" s="1"/>
  <c r="P555" i="2"/>
  <c r="P554" i="2"/>
  <c r="P553" i="2"/>
  <c r="P552" i="2"/>
  <c r="P551" i="2"/>
  <c r="P550" i="2"/>
  <c r="P549" i="2"/>
  <c r="P548" i="2"/>
  <c r="P547" i="2"/>
  <c r="P546" i="2"/>
  <c r="P545" i="2"/>
  <c r="P544" i="2"/>
  <c r="Q544" i="2" s="1"/>
  <c r="P543" i="2"/>
  <c r="P542" i="2"/>
  <c r="P541" i="2"/>
  <c r="P540" i="2"/>
  <c r="P539" i="2"/>
  <c r="P538" i="2"/>
  <c r="P537" i="2"/>
  <c r="P536" i="2"/>
  <c r="Q536" i="2" s="1"/>
  <c r="P535" i="2"/>
  <c r="P534" i="2"/>
  <c r="P533" i="2"/>
  <c r="P532" i="2"/>
  <c r="Q532" i="2" s="1"/>
  <c r="P531" i="2"/>
  <c r="P530" i="2"/>
  <c r="P529" i="2"/>
  <c r="P528" i="2"/>
  <c r="Q528" i="2" s="1"/>
  <c r="P527" i="2"/>
  <c r="P526" i="2"/>
  <c r="P525" i="2"/>
  <c r="P524" i="2"/>
  <c r="Q524" i="2" s="1"/>
  <c r="P523" i="2"/>
  <c r="P522" i="2"/>
  <c r="P521" i="2"/>
  <c r="P520" i="2"/>
  <c r="Q520" i="2" s="1"/>
  <c r="P519" i="2"/>
  <c r="P518" i="2"/>
  <c r="P517" i="2"/>
  <c r="P516" i="2"/>
  <c r="Q516" i="2" s="1"/>
  <c r="P515" i="2"/>
  <c r="P514" i="2"/>
  <c r="P513" i="2"/>
  <c r="P512" i="2"/>
  <c r="P511" i="2"/>
  <c r="P510" i="2"/>
  <c r="P509" i="2"/>
  <c r="P508" i="2"/>
  <c r="Q508" i="2" s="1"/>
  <c r="P507" i="2"/>
  <c r="P506" i="2"/>
  <c r="P505" i="2"/>
  <c r="P504" i="2"/>
  <c r="Q504" i="2" s="1"/>
  <c r="P503" i="2"/>
  <c r="P502" i="2"/>
  <c r="P501" i="2"/>
  <c r="P500" i="2"/>
  <c r="Q500" i="2" s="1"/>
  <c r="P499" i="2"/>
  <c r="P498" i="2"/>
  <c r="P497" i="2"/>
  <c r="P496" i="2"/>
  <c r="Q496" i="2" s="1"/>
  <c r="P495" i="2"/>
  <c r="P494" i="2"/>
  <c r="P493" i="2"/>
  <c r="P492" i="2"/>
  <c r="Q492" i="2" s="1"/>
  <c r="P491" i="2"/>
  <c r="P490" i="2"/>
  <c r="P489" i="2"/>
  <c r="P488" i="2"/>
  <c r="P487" i="2"/>
  <c r="P486" i="2"/>
  <c r="P485" i="2"/>
  <c r="P484" i="2"/>
  <c r="P483" i="2"/>
  <c r="P482" i="2"/>
  <c r="P481" i="2"/>
  <c r="P480" i="2"/>
  <c r="Q480" i="2" s="1"/>
  <c r="P479" i="2"/>
  <c r="P478" i="2"/>
  <c r="P477" i="2"/>
  <c r="P476" i="2"/>
  <c r="P475" i="2"/>
  <c r="P474" i="2"/>
  <c r="P473" i="2"/>
  <c r="P472" i="2"/>
  <c r="Q472" i="2" s="1"/>
  <c r="P471" i="2"/>
  <c r="P470" i="2"/>
  <c r="P469" i="2"/>
  <c r="P468" i="2"/>
  <c r="Q468" i="2" s="1"/>
  <c r="P467" i="2"/>
  <c r="P466" i="2"/>
  <c r="P465" i="2"/>
  <c r="P464" i="2"/>
  <c r="Q464" i="2" s="1"/>
  <c r="P463" i="2"/>
  <c r="P462" i="2"/>
  <c r="P461" i="2"/>
  <c r="P460" i="2"/>
  <c r="Q460" i="2" s="1"/>
  <c r="P459" i="2"/>
  <c r="P458" i="2"/>
  <c r="P457" i="2"/>
  <c r="P456" i="2"/>
  <c r="Q456" i="2" s="1"/>
  <c r="P455" i="2"/>
  <c r="P454" i="2"/>
  <c r="P453" i="2"/>
  <c r="P452" i="2"/>
  <c r="Q452" i="2" s="1"/>
  <c r="P451" i="2"/>
  <c r="P450" i="2"/>
  <c r="P449" i="2"/>
  <c r="P448" i="2"/>
  <c r="P447" i="2"/>
  <c r="P446" i="2"/>
  <c r="P445" i="2"/>
  <c r="P444" i="2"/>
  <c r="Q444" i="2" s="1"/>
  <c r="P443" i="2"/>
  <c r="P442" i="2"/>
  <c r="P441" i="2"/>
  <c r="P440" i="2"/>
  <c r="Q440" i="2" s="1"/>
  <c r="P439" i="2"/>
  <c r="P438" i="2"/>
  <c r="P437" i="2"/>
  <c r="P436" i="2"/>
  <c r="Q436" i="2" s="1"/>
  <c r="P435" i="2"/>
  <c r="P434" i="2"/>
  <c r="P433" i="2"/>
  <c r="P432" i="2"/>
  <c r="Q432" i="2" s="1"/>
  <c r="P431" i="2"/>
  <c r="P430" i="2"/>
  <c r="P429" i="2"/>
  <c r="P428" i="2"/>
  <c r="Q428" i="2" s="1"/>
  <c r="P427" i="2"/>
  <c r="P426" i="2"/>
  <c r="P425" i="2"/>
  <c r="P424" i="2"/>
  <c r="P423" i="2"/>
  <c r="P422" i="2"/>
  <c r="P421" i="2"/>
  <c r="P420" i="2"/>
  <c r="P419" i="2"/>
  <c r="P418" i="2"/>
  <c r="P417" i="2"/>
  <c r="P416" i="2"/>
  <c r="Q416" i="2" s="1"/>
  <c r="P415" i="2"/>
  <c r="P414" i="2"/>
  <c r="P413" i="2"/>
  <c r="P412" i="2"/>
  <c r="P411" i="2"/>
  <c r="P410" i="2"/>
  <c r="P409" i="2"/>
  <c r="P408" i="2"/>
  <c r="Q408" i="2" s="1"/>
  <c r="P407" i="2"/>
  <c r="P406" i="2"/>
  <c r="P405" i="2"/>
  <c r="P404" i="2"/>
  <c r="Q404" i="2" s="1"/>
  <c r="P403" i="2"/>
  <c r="P402" i="2"/>
  <c r="P401" i="2"/>
  <c r="P400" i="2"/>
  <c r="Q400" i="2" s="1"/>
  <c r="P399" i="2"/>
  <c r="P398" i="2"/>
  <c r="P397" i="2"/>
  <c r="P396" i="2"/>
  <c r="Q396" i="2" s="1"/>
  <c r="P395" i="2"/>
  <c r="P394" i="2"/>
  <c r="P393" i="2"/>
  <c r="P392" i="2"/>
  <c r="Q392" i="2" s="1"/>
  <c r="P391" i="2"/>
  <c r="P390" i="2"/>
  <c r="P389" i="2"/>
  <c r="P388" i="2"/>
  <c r="Q388" i="2" s="1"/>
  <c r="P387" i="2"/>
  <c r="P386" i="2"/>
  <c r="P385" i="2"/>
  <c r="P384" i="2"/>
  <c r="P383" i="2"/>
  <c r="P382" i="2"/>
  <c r="P381" i="2"/>
  <c r="P380" i="2"/>
  <c r="Q380" i="2" s="1"/>
  <c r="P379" i="2"/>
  <c r="P378" i="2"/>
  <c r="P377" i="2"/>
  <c r="P376" i="2"/>
  <c r="Q376" i="2" s="1"/>
  <c r="P375" i="2"/>
  <c r="P374" i="2"/>
  <c r="P373" i="2"/>
  <c r="P372" i="2"/>
  <c r="Q372" i="2" s="1"/>
  <c r="P371" i="2"/>
  <c r="P370" i="2"/>
  <c r="P369" i="2"/>
  <c r="P368" i="2"/>
  <c r="Q368" i="2" s="1"/>
  <c r="P367" i="2"/>
  <c r="P366" i="2"/>
  <c r="P365" i="2"/>
  <c r="P364" i="2"/>
  <c r="Q364" i="2" s="1"/>
  <c r="P363" i="2"/>
  <c r="P362" i="2"/>
  <c r="P361" i="2"/>
  <c r="P360" i="2"/>
  <c r="P359" i="2"/>
  <c r="P358" i="2"/>
  <c r="P357" i="2"/>
  <c r="P356" i="2"/>
  <c r="P355" i="2"/>
  <c r="P354" i="2"/>
  <c r="P353" i="2"/>
  <c r="P352" i="2"/>
  <c r="Q352" i="2" s="1"/>
  <c r="P351" i="2"/>
  <c r="P350" i="2"/>
  <c r="P349" i="2"/>
  <c r="P348" i="2"/>
  <c r="P347" i="2"/>
  <c r="P346" i="2"/>
  <c r="P345" i="2"/>
  <c r="P344" i="2"/>
  <c r="Q344" i="2" s="1"/>
  <c r="P343" i="2"/>
  <c r="P342" i="2"/>
  <c r="P341" i="2"/>
  <c r="P340" i="2"/>
  <c r="Q340" i="2" s="1"/>
  <c r="P339" i="2"/>
  <c r="P338" i="2"/>
  <c r="P337" i="2"/>
  <c r="P336" i="2"/>
  <c r="Q336" i="2" s="1"/>
  <c r="P335" i="2"/>
  <c r="P334" i="2"/>
  <c r="P333" i="2"/>
  <c r="P332" i="2"/>
  <c r="Q332" i="2" s="1"/>
  <c r="P331" i="2"/>
  <c r="P330" i="2"/>
  <c r="P329" i="2"/>
  <c r="P328" i="2"/>
  <c r="Q328" i="2" s="1"/>
  <c r="P327" i="2"/>
  <c r="P326" i="2"/>
  <c r="P325" i="2"/>
  <c r="P324" i="2"/>
  <c r="Q324" i="2" s="1"/>
  <c r="P323" i="2"/>
  <c r="P322" i="2"/>
  <c r="P321" i="2"/>
  <c r="P320" i="2"/>
  <c r="P319" i="2"/>
  <c r="P318" i="2"/>
  <c r="P317" i="2"/>
  <c r="P316" i="2"/>
  <c r="Q316" i="2" s="1"/>
  <c r="P315" i="2"/>
  <c r="P314" i="2"/>
  <c r="P313" i="2"/>
  <c r="P312" i="2"/>
  <c r="Q312" i="2" s="1"/>
  <c r="P311" i="2"/>
  <c r="P310" i="2"/>
  <c r="P309" i="2"/>
  <c r="P308" i="2"/>
  <c r="P307" i="2"/>
  <c r="P306" i="2"/>
  <c r="P305" i="2"/>
  <c r="P304" i="2"/>
  <c r="Q304" i="2" s="1"/>
  <c r="P303" i="2"/>
  <c r="P302" i="2"/>
  <c r="P301" i="2"/>
  <c r="P300" i="2"/>
  <c r="Q300" i="2" s="1"/>
  <c r="P299" i="2"/>
  <c r="P298" i="2"/>
  <c r="P297" i="2"/>
  <c r="P296" i="2"/>
  <c r="Q296" i="2" s="1"/>
  <c r="P295" i="2"/>
  <c r="P294" i="2"/>
  <c r="P293" i="2"/>
  <c r="P292" i="2"/>
  <c r="P291" i="2"/>
  <c r="P290" i="2"/>
  <c r="P289" i="2"/>
  <c r="P288" i="2"/>
  <c r="Q288" i="2" s="1"/>
  <c r="P287" i="2"/>
  <c r="P286" i="2"/>
  <c r="P285" i="2"/>
  <c r="P284" i="2"/>
  <c r="Q284" i="2" s="1"/>
  <c r="P283" i="2"/>
  <c r="P282" i="2"/>
  <c r="P281" i="2"/>
  <c r="P280" i="2"/>
  <c r="Q280" i="2" s="1"/>
  <c r="P279" i="2"/>
  <c r="P278" i="2"/>
  <c r="P277" i="2"/>
  <c r="P276" i="2"/>
  <c r="P275" i="2"/>
  <c r="P274" i="2"/>
  <c r="P273" i="2"/>
  <c r="P272" i="2"/>
  <c r="Q272" i="2" s="1"/>
  <c r="P271" i="2"/>
  <c r="P270" i="2"/>
  <c r="P269" i="2"/>
  <c r="P268" i="2"/>
  <c r="Q268" i="2" s="1"/>
  <c r="P267" i="2"/>
  <c r="P266" i="2"/>
  <c r="P265" i="2"/>
  <c r="P264" i="2"/>
  <c r="Q264" i="2" s="1"/>
  <c r="P263" i="2"/>
  <c r="P262" i="2"/>
  <c r="P261" i="2"/>
  <c r="P260" i="2"/>
  <c r="P259" i="2"/>
  <c r="P258" i="2"/>
  <c r="P257" i="2"/>
  <c r="P256" i="2"/>
  <c r="Q256" i="2" s="1"/>
  <c r="P255" i="2"/>
  <c r="P254" i="2"/>
  <c r="P253" i="2"/>
  <c r="P252" i="2"/>
  <c r="Q252" i="2" s="1"/>
  <c r="P251" i="2"/>
  <c r="P250" i="2"/>
  <c r="P249" i="2"/>
  <c r="P248" i="2"/>
  <c r="Q248" i="2" s="1"/>
  <c r="P247" i="2"/>
  <c r="P246" i="2"/>
  <c r="P245" i="2"/>
  <c r="P244" i="2"/>
  <c r="P243" i="2"/>
  <c r="P242" i="2"/>
  <c r="P241" i="2"/>
  <c r="P240" i="2"/>
  <c r="Q240" i="2" s="1"/>
  <c r="P239" i="2"/>
  <c r="P238" i="2"/>
  <c r="P237" i="2"/>
  <c r="P236" i="2"/>
  <c r="Q236" i="2" s="1"/>
  <c r="P235" i="2"/>
  <c r="P234" i="2"/>
  <c r="P233" i="2"/>
  <c r="P232" i="2"/>
  <c r="Q232" i="2" s="1"/>
  <c r="P231" i="2"/>
  <c r="P230" i="2"/>
  <c r="P229" i="2"/>
  <c r="P228" i="2"/>
  <c r="P227" i="2"/>
  <c r="P226" i="2"/>
  <c r="P225" i="2"/>
  <c r="P224" i="2"/>
  <c r="Q224" i="2" s="1"/>
  <c r="P223" i="2"/>
  <c r="P222" i="2"/>
  <c r="P221" i="2"/>
  <c r="P220" i="2"/>
  <c r="Q220" i="2" s="1"/>
  <c r="P219" i="2"/>
  <c r="P218" i="2"/>
  <c r="P217" i="2"/>
  <c r="P216" i="2"/>
  <c r="Q216" i="2" s="1"/>
  <c r="P215" i="2"/>
  <c r="P214" i="2"/>
  <c r="P213" i="2"/>
  <c r="P212" i="2"/>
  <c r="P211" i="2"/>
  <c r="P210" i="2"/>
  <c r="P209" i="2"/>
  <c r="P208" i="2"/>
  <c r="Q208" i="2" s="1"/>
  <c r="P207" i="2"/>
  <c r="P206" i="2"/>
  <c r="P205" i="2"/>
  <c r="P204" i="2"/>
  <c r="Q204" i="2" s="1"/>
  <c r="P203" i="2"/>
  <c r="P202" i="2"/>
  <c r="P201" i="2"/>
  <c r="P200" i="2"/>
  <c r="Q200" i="2" s="1"/>
  <c r="P199" i="2"/>
  <c r="P198" i="2"/>
  <c r="P197" i="2"/>
  <c r="P196" i="2"/>
  <c r="P195" i="2"/>
  <c r="P194" i="2"/>
  <c r="P193" i="2"/>
  <c r="P192" i="2"/>
  <c r="Q192" i="2" s="1"/>
  <c r="P191" i="2"/>
  <c r="P190" i="2"/>
  <c r="P189" i="2"/>
  <c r="P188" i="2"/>
  <c r="Q188" i="2" s="1"/>
  <c r="P187" i="2"/>
  <c r="P186" i="2"/>
  <c r="P185" i="2"/>
  <c r="P184" i="2"/>
  <c r="Q184" i="2" s="1"/>
  <c r="P183" i="2"/>
  <c r="P182" i="2"/>
  <c r="P181" i="2"/>
  <c r="P180" i="2"/>
  <c r="P179" i="2"/>
  <c r="P178" i="2"/>
  <c r="P177" i="2"/>
  <c r="P176" i="2"/>
  <c r="Q176" i="2" s="1"/>
  <c r="P175" i="2"/>
  <c r="P174" i="2"/>
  <c r="P173" i="2"/>
  <c r="P172" i="2"/>
  <c r="Q172" i="2" s="1"/>
  <c r="P171" i="2"/>
  <c r="P170" i="2"/>
  <c r="P169" i="2"/>
  <c r="P168" i="2"/>
  <c r="Q168" i="2" s="1"/>
  <c r="P167" i="2"/>
  <c r="P166" i="2"/>
  <c r="P165" i="2"/>
  <c r="P164" i="2"/>
  <c r="P163" i="2"/>
  <c r="P162" i="2"/>
  <c r="P161" i="2"/>
  <c r="P160" i="2"/>
  <c r="Q160" i="2" s="1"/>
  <c r="P159" i="2"/>
  <c r="P158" i="2"/>
  <c r="P157" i="2"/>
  <c r="P156" i="2"/>
  <c r="Q156" i="2" s="1"/>
  <c r="P155" i="2"/>
  <c r="P154" i="2"/>
  <c r="P153" i="2"/>
  <c r="P152" i="2"/>
  <c r="Q152" i="2" s="1"/>
  <c r="P151" i="2"/>
  <c r="P150" i="2"/>
  <c r="P149" i="2"/>
  <c r="P148" i="2"/>
  <c r="P147" i="2"/>
  <c r="P146" i="2"/>
  <c r="P145" i="2"/>
  <c r="P144" i="2"/>
  <c r="Q144" i="2" s="1"/>
  <c r="P143" i="2"/>
  <c r="P142" i="2"/>
  <c r="P141" i="2"/>
  <c r="P140" i="2"/>
  <c r="Q140" i="2" s="1"/>
  <c r="P139" i="2"/>
  <c r="P138" i="2"/>
  <c r="P137" i="2"/>
  <c r="P136" i="2"/>
  <c r="Q136" i="2" s="1"/>
  <c r="P135" i="2"/>
  <c r="P134" i="2"/>
  <c r="P133" i="2"/>
  <c r="P132" i="2"/>
  <c r="P131" i="2"/>
  <c r="P130" i="2"/>
  <c r="P129" i="2"/>
  <c r="P128" i="2"/>
  <c r="Q128" i="2" s="1"/>
  <c r="P127" i="2"/>
  <c r="P126" i="2"/>
  <c r="P125" i="2"/>
  <c r="P124" i="2"/>
  <c r="Q124" i="2" s="1"/>
  <c r="P123" i="2"/>
  <c r="P122" i="2"/>
  <c r="P121" i="2"/>
  <c r="P120" i="2"/>
  <c r="Q120" i="2" s="1"/>
  <c r="P119" i="2"/>
  <c r="P118" i="2"/>
  <c r="P117" i="2"/>
  <c r="P116" i="2"/>
  <c r="P115" i="2"/>
  <c r="P114" i="2"/>
  <c r="P113" i="2"/>
  <c r="P112" i="2"/>
  <c r="Q112" i="2" s="1"/>
  <c r="P111" i="2"/>
  <c r="P110" i="2"/>
  <c r="P109" i="2"/>
  <c r="P108" i="2"/>
  <c r="Q108" i="2" s="1"/>
  <c r="P107" i="2"/>
  <c r="P106" i="2"/>
  <c r="P105" i="2"/>
  <c r="P104" i="2"/>
  <c r="Q104" i="2" s="1"/>
  <c r="P103" i="2"/>
  <c r="P102" i="2"/>
  <c r="P101" i="2"/>
  <c r="P100" i="2"/>
  <c r="P99" i="2"/>
  <c r="P98" i="2"/>
  <c r="P97" i="2"/>
  <c r="P96" i="2"/>
  <c r="Q96" i="2" s="1"/>
  <c r="P95" i="2"/>
  <c r="P94" i="2"/>
  <c r="P93" i="2"/>
  <c r="P92" i="2"/>
  <c r="Q92" i="2" s="1"/>
  <c r="P91" i="2"/>
  <c r="P90" i="2"/>
  <c r="P89" i="2"/>
  <c r="P88" i="2"/>
  <c r="Q88" i="2" s="1"/>
  <c r="P87" i="2"/>
  <c r="P86" i="2"/>
  <c r="P85" i="2"/>
  <c r="P84" i="2"/>
  <c r="P83" i="2"/>
  <c r="P82" i="2"/>
  <c r="P81" i="2"/>
  <c r="P80" i="2"/>
  <c r="Q80" i="2" s="1"/>
  <c r="P79" i="2"/>
  <c r="P78" i="2"/>
  <c r="P77" i="2"/>
  <c r="P76" i="2"/>
  <c r="Q76" i="2" s="1"/>
  <c r="P75" i="2"/>
  <c r="P74" i="2"/>
  <c r="P73" i="2"/>
  <c r="P72" i="2"/>
  <c r="Q72" i="2" s="1"/>
  <c r="P71" i="2"/>
  <c r="P70" i="2"/>
  <c r="P69" i="2"/>
  <c r="P68" i="2"/>
  <c r="P67" i="2"/>
  <c r="P66" i="2"/>
  <c r="P65" i="2"/>
  <c r="P64" i="2"/>
  <c r="Q64" i="2" s="1"/>
  <c r="P63" i="2"/>
  <c r="P62" i="2"/>
  <c r="P61" i="2"/>
  <c r="P60" i="2"/>
  <c r="Q60" i="2" s="1"/>
  <c r="P59" i="2"/>
  <c r="P58" i="2"/>
  <c r="P57" i="2"/>
  <c r="P56" i="2"/>
  <c r="Q56" i="2" s="1"/>
  <c r="P55" i="2"/>
  <c r="P54" i="2"/>
  <c r="P53" i="2"/>
  <c r="P52" i="2"/>
  <c r="P51" i="2"/>
  <c r="P50" i="2"/>
  <c r="P49" i="2"/>
  <c r="P48" i="2"/>
  <c r="Q48" i="2" s="1"/>
  <c r="P47" i="2"/>
  <c r="P46" i="2"/>
  <c r="P45" i="2"/>
  <c r="P44" i="2"/>
  <c r="Q44" i="2" s="1"/>
  <c r="P43" i="2"/>
  <c r="P42" i="2"/>
  <c r="P41" i="2"/>
  <c r="P40" i="2"/>
  <c r="Q40" i="2" s="1"/>
  <c r="P39" i="2"/>
  <c r="P38" i="2"/>
  <c r="P37" i="2"/>
  <c r="P36" i="2"/>
  <c r="P35" i="2"/>
  <c r="P34" i="2"/>
  <c r="P33" i="2"/>
  <c r="P32" i="2"/>
  <c r="Q32" i="2" s="1"/>
  <c r="P31" i="2"/>
  <c r="P30" i="2"/>
  <c r="P29" i="2"/>
  <c r="P28" i="2"/>
  <c r="Q28" i="2" s="1"/>
  <c r="P27" i="2"/>
  <c r="P26" i="2"/>
  <c r="P25" i="2"/>
  <c r="P24" i="2"/>
  <c r="Q24" i="2" s="1"/>
  <c r="P23" i="2"/>
  <c r="P22" i="2"/>
  <c r="P21" i="2"/>
  <c r="P20" i="2"/>
  <c r="P19" i="2"/>
  <c r="P18" i="2"/>
  <c r="P17" i="2"/>
  <c r="P16" i="2"/>
  <c r="Q16" i="2" s="1"/>
  <c r="P15" i="2"/>
  <c r="P14" i="2"/>
  <c r="P13" i="2"/>
  <c r="P12" i="2"/>
  <c r="Q12" i="2" s="1"/>
  <c r="P11" i="2"/>
  <c r="P10" i="2"/>
  <c r="P9" i="2"/>
  <c r="P8" i="2"/>
  <c r="Q8" i="2" s="1"/>
  <c r="P7" i="2"/>
  <c r="P6" i="2"/>
  <c r="P5" i="2"/>
  <c r="P4" i="2"/>
  <c r="P3" i="2"/>
  <c r="Q653" i="2"/>
  <c r="Q649" i="2"/>
  <c r="Q645" i="2"/>
  <c r="Q641" i="2"/>
  <c r="Q640" i="2"/>
  <c r="Q637" i="2"/>
  <c r="Q633" i="2"/>
  <c r="Q629" i="2"/>
  <c r="Q625" i="2"/>
  <c r="Q621" i="2"/>
  <c r="Q617" i="2"/>
  <c r="Q613" i="2"/>
  <c r="Q612" i="2"/>
  <c r="Q609" i="2"/>
  <c r="Q605" i="2"/>
  <c r="Q604" i="2"/>
  <c r="Q601" i="2"/>
  <c r="Q597" i="2"/>
  <c r="Q593" i="2"/>
  <c r="Q589" i="2"/>
  <c r="Q585" i="2"/>
  <c r="Q581" i="2"/>
  <c r="Q577" i="2"/>
  <c r="Q576" i="2"/>
  <c r="Q573" i="2"/>
  <c r="Q569" i="2"/>
  <c r="Q565" i="2"/>
  <c r="Q561" i="2"/>
  <c r="Q557" i="2"/>
  <c r="Q553" i="2"/>
  <c r="Q549" i="2"/>
  <c r="Q548" i="2"/>
  <c r="Q545" i="2"/>
  <c r="Q541" i="2"/>
  <c r="Q540" i="2"/>
  <c r="Q537" i="2"/>
  <c r="Q533" i="2"/>
  <c r="Q529" i="2"/>
  <c r="Q525" i="2"/>
  <c r="Q521" i="2"/>
  <c r="Q517" i="2"/>
  <c r="Q513" i="2"/>
  <c r="Q512" i="2"/>
  <c r="Q509" i="2"/>
  <c r="Q505" i="2"/>
  <c r="Q501" i="2"/>
  <c r="Q497" i="2"/>
  <c r="Q493" i="2"/>
  <c r="Q489" i="2"/>
  <c r="Q485" i="2"/>
  <c r="Q484" i="2"/>
  <c r="Q481" i="2"/>
  <c r="Q477" i="2"/>
  <c r="Q476" i="2"/>
  <c r="Q473" i="2"/>
  <c r="Q469" i="2"/>
  <c r="Q465" i="2"/>
  <c r="Q461" i="2"/>
  <c r="Q457" i="2"/>
  <c r="Q453" i="2"/>
  <c r="Q449" i="2"/>
  <c r="Q448" i="2"/>
  <c r="Q445" i="2"/>
  <c r="Q441" i="2"/>
  <c r="Q437" i="2"/>
  <c r="Q433" i="2"/>
  <c r="Q429" i="2"/>
  <c r="Q425" i="2"/>
  <c r="Q421" i="2"/>
  <c r="Q420" i="2"/>
  <c r="Q417" i="2"/>
  <c r="Q413" i="2"/>
  <c r="Q412" i="2"/>
  <c r="Q409" i="2"/>
  <c r="Q405" i="2"/>
  <c r="Q401" i="2"/>
  <c r="Q397" i="2"/>
  <c r="Q393" i="2"/>
  <c r="Q389" i="2"/>
  <c r="Q385" i="2"/>
  <c r="Q384" i="2"/>
  <c r="Q381" i="2"/>
  <c r="Q377" i="2"/>
  <c r="Q373" i="2"/>
  <c r="Q369" i="2"/>
  <c r="Q365" i="2"/>
  <c r="Q361" i="2"/>
  <c r="Q357" i="2"/>
  <c r="Q356" i="2"/>
  <c r="Q353" i="2"/>
  <c r="Q349" i="2"/>
  <c r="Q348" i="2"/>
  <c r="Q345" i="2"/>
  <c r="Q341" i="2"/>
  <c r="Q337" i="2"/>
  <c r="Q333" i="2"/>
  <c r="Q329" i="2"/>
  <c r="Q325" i="2"/>
  <c r="Q321" i="2"/>
  <c r="Q320" i="2"/>
  <c r="Q317" i="2"/>
  <c r="Q308" i="2"/>
  <c r="Q292" i="2"/>
  <c r="Q276" i="2"/>
  <c r="Q260" i="2"/>
  <c r="Q244" i="2"/>
  <c r="Q228" i="2"/>
  <c r="Q212" i="2"/>
  <c r="Q196" i="2"/>
  <c r="Q180" i="2"/>
  <c r="Q164" i="2"/>
  <c r="Q148" i="2"/>
  <c r="Q132" i="2"/>
  <c r="Q116" i="2"/>
  <c r="Q100" i="2"/>
  <c r="Q84" i="2"/>
  <c r="Q68" i="2"/>
  <c r="Q52" i="2"/>
  <c r="Q36" i="2"/>
  <c r="Q20" i="2"/>
  <c r="Q4" i="2"/>
  <c r="P2" i="2"/>
  <c r="Q655" i="2"/>
  <c r="Q654" i="2"/>
  <c r="Q651" i="2"/>
  <c r="Q650" i="2"/>
  <c r="Q647" i="2"/>
  <c r="Q646" i="2"/>
  <c r="Q643" i="2"/>
  <c r="Q642" i="2"/>
  <c r="Q639" i="2"/>
  <c r="Q638" i="2"/>
  <c r="Q635" i="2"/>
  <c r="Q634" i="2"/>
  <c r="Q631" i="2"/>
  <c r="Q630" i="2"/>
  <c r="Q627" i="2"/>
  <c r="Q626" i="2"/>
  <c r="Q623" i="2"/>
  <c r="Q622" i="2"/>
  <c r="Q619" i="2"/>
  <c r="Q618" i="2"/>
  <c r="Q616" i="2"/>
  <c r="Q615" i="2"/>
  <c r="Q614" i="2"/>
  <c r="Q611" i="2"/>
  <c r="Q610" i="2"/>
  <c r="Q607" i="2"/>
  <c r="Q606" i="2"/>
  <c r="Q603" i="2"/>
  <c r="Q602" i="2"/>
  <c r="Q599" i="2"/>
  <c r="Q598" i="2"/>
  <c r="Q595" i="2"/>
  <c r="Q594" i="2"/>
  <c r="Q591" i="2"/>
  <c r="Q590" i="2"/>
  <c r="Q587" i="2"/>
  <c r="Q586" i="2"/>
  <c r="Q583" i="2"/>
  <c r="Q582" i="2"/>
  <c r="Q579" i="2"/>
  <c r="Q578" i="2"/>
  <c r="Q575" i="2"/>
  <c r="Q574" i="2"/>
  <c r="Q571" i="2"/>
  <c r="Q570" i="2"/>
  <c r="Q567" i="2"/>
  <c r="Q566" i="2"/>
  <c r="Q563" i="2"/>
  <c r="Q562" i="2"/>
  <c r="Q559" i="2"/>
  <c r="Q558" i="2"/>
  <c r="Q555" i="2"/>
  <c r="Q554" i="2"/>
  <c r="Q552" i="2"/>
  <c r="Q551" i="2"/>
  <c r="Q550" i="2"/>
  <c r="Q547" i="2"/>
  <c r="Q546" i="2"/>
  <c r="Q543" i="2"/>
  <c r="Q542" i="2"/>
  <c r="Q539" i="2"/>
  <c r="Q538" i="2"/>
  <c r="Q535" i="2"/>
  <c r="Q534" i="2"/>
  <c r="Q531" i="2"/>
  <c r="Q530" i="2"/>
  <c r="Q527" i="2"/>
  <c r="Q526" i="2"/>
  <c r="Q523" i="2"/>
  <c r="Q522" i="2"/>
  <c r="Q519" i="2"/>
  <c r="Q518" i="2"/>
  <c r="Q515" i="2"/>
  <c r="Q514" i="2"/>
  <c r="Q511" i="2"/>
  <c r="Q510" i="2"/>
  <c r="Q507" i="2"/>
  <c r="Q506" i="2"/>
  <c r="Q503" i="2"/>
  <c r="Q502" i="2"/>
  <c r="Q499" i="2"/>
  <c r="Q498" i="2"/>
  <c r="Q495" i="2"/>
  <c r="Q494" i="2"/>
  <c r="Q491" i="2"/>
  <c r="Q490" i="2"/>
  <c r="Q488" i="2"/>
  <c r="Q487" i="2"/>
  <c r="Q486" i="2"/>
  <c r="Q483" i="2"/>
  <c r="Q482" i="2"/>
  <c r="Q479" i="2"/>
  <c r="Q478" i="2"/>
  <c r="Q475" i="2"/>
  <c r="Q474" i="2"/>
  <c r="Q471" i="2"/>
  <c r="Q470" i="2"/>
  <c r="Q467" i="2"/>
  <c r="Q466" i="2"/>
  <c r="Q463" i="2"/>
  <c r="Q462" i="2"/>
  <c r="Q459" i="2"/>
  <c r="Q458" i="2"/>
  <c r="Q455" i="2"/>
  <c r="Q454" i="2"/>
  <c r="Q451" i="2"/>
  <c r="Q450" i="2"/>
  <c r="Q447" i="2"/>
  <c r="Q446" i="2"/>
  <c r="Q443" i="2"/>
  <c r="Q442" i="2"/>
  <c r="Q439" i="2"/>
  <c r="Q438" i="2"/>
  <c r="Q435" i="2"/>
  <c r="Q434" i="2"/>
  <c r="Q431" i="2"/>
  <c r="Q430" i="2"/>
  <c r="Q427" i="2"/>
  <c r="Q426" i="2"/>
  <c r="Q424" i="2"/>
  <c r="Q423" i="2"/>
  <c r="Q422" i="2"/>
  <c r="Q419" i="2"/>
  <c r="Q418" i="2"/>
  <c r="Q415" i="2"/>
  <c r="Q414" i="2"/>
  <c r="Q411" i="2"/>
  <c r="Q410" i="2"/>
  <c r="Q407" i="2"/>
  <c r="Q406" i="2"/>
  <c r="Q403" i="2"/>
  <c r="Q402" i="2"/>
  <c r="Q399" i="2"/>
  <c r="Q398" i="2"/>
  <c r="Q395" i="2"/>
  <c r="Q394" i="2"/>
  <c r="Q391" i="2"/>
  <c r="Q390" i="2"/>
  <c r="Q387" i="2"/>
  <c r="Q386" i="2"/>
  <c r="Q383" i="2"/>
  <c r="Q382" i="2"/>
  <c r="Q379" i="2"/>
  <c r="Q378" i="2"/>
  <c r="Q375" i="2"/>
  <c r="Q374" i="2"/>
  <c r="Q371" i="2"/>
  <c r="Q370" i="2"/>
  <c r="Q367" i="2"/>
  <c r="Q366" i="2"/>
  <c r="Q363" i="2"/>
  <c r="Q362" i="2"/>
  <c r="Q360" i="2"/>
  <c r="Q359" i="2"/>
  <c r="Q358" i="2"/>
  <c r="Q355" i="2"/>
  <c r="Q354" i="2"/>
  <c r="Q351" i="2"/>
  <c r="Q350" i="2"/>
  <c r="Q347" i="2"/>
  <c r="Q346" i="2"/>
  <c r="Q343" i="2"/>
  <c r="Q342" i="2"/>
  <c r="Q339" i="2"/>
  <c r="Q338" i="2"/>
  <c r="Q335" i="2"/>
  <c r="Q334" i="2"/>
  <c r="Q331" i="2"/>
  <c r="Q330" i="2"/>
  <c r="Q327" i="2"/>
  <c r="Q326" i="2"/>
  <c r="Q323" i="2"/>
  <c r="Q322" i="2"/>
  <c r="Q319" i="2"/>
  <c r="Q318" i="2"/>
  <c r="Q315" i="2"/>
  <c r="Q314" i="2"/>
  <c r="Q313" i="2"/>
  <c r="Q311" i="2"/>
  <c r="Q310" i="2"/>
  <c r="Q309" i="2"/>
  <c r="Q307" i="2"/>
  <c r="Q306" i="2"/>
  <c r="Q305" i="2"/>
  <c r="Q303" i="2"/>
  <c r="Q302" i="2"/>
  <c r="Q301" i="2"/>
  <c r="Q299" i="2"/>
  <c r="Q298" i="2"/>
  <c r="Q297" i="2"/>
  <c r="Q295" i="2"/>
  <c r="Q294" i="2"/>
  <c r="Q293" i="2"/>
  <c r="Q291" i="2"/>
  <c r="Q290" i="2"/>
  <c r="Q289" i="2"/>
  <c r="Q287" i="2"/>
  <c r="Q286" i="2"/>
  <c r="Q285" i="2"/>
  <c r="Q283" i="2"/>
  <c r="Q282" i="2"/>
  <c r="Q281" i="2"/>
  <c r="Q279" i="2"/>
  <c r="Q278" i="2"/>
  <c r="Q277" i="2"/>
  <c r="Q275" i="2"/>
  <c r="Q274" i="2"/>
  <c r="Q273" i="2"/>
  <c r="Q271" i="2"/>
  <c r="Q270" i="2"/>
  <c r="Q269" i="2"/>
  <c r="Q267" i="2"/>
  <c r="Q266" i="2"/>
  <c r="Q265" i="2"/>
  <c r="Q263" i="2"/>
  <c r="Q262" i="2"/>
  <c r="Q261" i="2"/>
  <c r="Q259" i="2"/>
  <c r="Q258" i="2"/>
  <c r="Q257" i="2"/>
  <c r="Q255" i="2"/>
  <c r="Q254" i="2"/>
  <c r="Q253" i="2"/>
  <c r="Q251" i="2"/>
  <c r="Q250" i="2"/>
  <c r="Q249" i="2"/>
  <c r="Q247" i="2"/>
  <c r="Q246" i="2"/>
  <c r="Q245" i="2"/>
  <c r="Q243" i="2"/>
  <c r="Q242" i="2"/>
  <c r="Q241" i="2"/>
  <c r="Q239" i="2"/>
  <c r="Q238" i="2"/>
  <c r="Q237" i="2"/>
  <c r="Q235" i="2"/>
  <c r="Q234" i="2"/>
  <c r="Q233" i="2"/>
  <c r="Q231" i="2"/>
  <c r="Q230" i="2"/>
  <c r="Q229" i="2"/>
  <c r="Q227" i="2"/>
  <c r="Q226" i="2"/>
  <c r="Q225" i="2"/>
  <c r="Q223" i="2"/>
  <c r="Q222" i="2"/>
  <c r="Q221" i="2"/>
  <c r="Q219" i="2"/>
  <c r="Q218" i="2"/>
  <c r="Q217" i="2"/>
  <c r="Q215" i="2"/>
  <c r="Q214" i="2"/>
  <c r="Q213" i="2"/>
  <c r="Q211" i="2"/>
  <c r="Q210" i="2"/>
  <c r="Q209" i="2"/>
  <c r="Q207" i="2"/>
  <c r="Q206" i="2"/>
  <c r="Q205" i="2"/>
  <c r="Q203" i="2"/>
  <c r="Q202" i="2"/>
  <c r="Q201" i="2"/>
  <c r="Q199" i="2"/>
  <c r="Q198" i="2"/>
  <c r="Q197" i="2"/>
  <c r="Q195" i="2"/>
  <c r="Q194" i="2"/>
  <c r="Q193" i="2"/>
  <c r="Q191" i="2"/>
  <c r="Q190" i="2"/>
  <c r="Q189" i="2"/>
  <c r="Q187" i="2"/>
  <c r="Q186" i="2"/>
  <c r="Q185" i="2"/>
  <c r="Q183" i="2"/>
  <c r="Q182" i="2"/>
  <c r="Q181" i="2"/>
  <c r="Q179" i="2"/>
  <c r="Q178" i="2"/>
  <c r="Q177" i="2"/>
  <c r="Q175" i="2"/>
  <c r="Q174" i="2"/>
  <c r="Q173" i="2"/>
  <c r="Q171" i="2"/>
  <c r="Q170" i="2"/>
  <c r="Q169" i="2"/>
  <c r="Q167" i="2"/>
  <c r="Q166" i="2"/>
  <c r="Q165" i="2"/>
  <c r="Q163" i="2"/>
  <c r="Q162" i="2"/>
  <c r="Q161" i="2"/>
  <c r="Q159" i="2"/>
  <c r="Q158" i="2"/>
  <c r="Q157" i="2"/>
  <c r="Q155" i="2"/>
  <c r="Q154" i="2"/>
  <c r="Q153" i="2"/>
  <c r="Q151" i="2"/>
  <c r="Q150" i="2"/>
  <c r="Q149" i="2"/>
  <c r="Q147" i="2"/>
  <c r="Q146" i="2"/>
  <c r="Q145" i="2"/>
  <c r="Q143" i="2"/>
  <c r="Q142" i="2"/>
  <c r="Q141" i="2"/>
  <c r="Q139" i="2"/>
  <c r="Q138" i="2"/>
  <c r="Q137" i="2"/>
  <c r="Q135" i="2"/>
  <c r="Q134" i="2"/>
  <c r="Q133" i="2"/>
  <c r="Q131" i="2"/>
  <c r="Q130" i="2"/>
  <c r="Q129" i="2"/>
  <c r="Q127" i="2"/>
  <c r="Q126" i="2"/>
  <c r="Q125" i="2"/>
  <c r="Q123" i="2"/>
  <c r="Q122" i="2"/>
  <c r="Q121" i="2"/>
  <c r="Q119" i="2"/>
  <c r="Q118" i="2"/>
  <c r="Q117" i="2"/>
  <c r="Q115" i="2"/>
  <c r="Q114" i="2"/>
  <c r="Q113" i="2"/>
  <c r="Q111" i="2"/>
  <c r="Q110" i="2"/>
  <c r="Q109" i="2"/>
  <c r="Q107" i="2"/>
  <c r="Q106" i="2"/>
  <c r="Q105" i="2"/>
  <c r="Q103" i="2"/>
  <c r="Q102" i="2"/>
  <c r="Q101" i="2"/>
  <c r="Q99" i="2"/>
  <c r="Q98" i="2"/>
  <c r="Q97" i="2"/>
  <c r="Q95" i="2"/>
  <c r="Q94" i="2"/>
  <c r="Q93" i="2"/>
  <c r="Q91" i="2"/>
  <c r="Q90" i="2"/>
  <c r="Q89" i="2"/>
  <c r="Q87" i="2"/>
  <c r="Q86" i="2"/>
  <c r="Q85" i="2"/>
  <c r="Q83" i="2"/>
  <c r="Q82" i="2"/>
  <c r="Q81" i="2"/>
  <c r="Q79" i="2"/>
  <c r="Q78" i="2"/>
  <c r="Q77" i="2"/>
  <c r="Q75" i="2"/>
  <c r="Q74" i="2"/>
  <c r="Q73" i="2"/>
  <c r="Q71" i="2"/>
  <c r="Q70" i="2"/>
  <c r="Q69" i="2"/>
  <c r="Q67" i="2"/>
  <c r="Q66" i="2"/>
  <c r="Q65" i="2"/>
  <c r="Q63" i="2"/>
  <c r="Q62" i="2"/>
  <c r="Q61" i="2"/>
  <c r="Q59" i="2"/>
  <c r="Q58" i="2"/>
  <c r="Q57" i="2"/>
  <c r="Q55" i="2"/>
  <c r="Q54" i="2"/>
  <c r="Q53" i="2"/>
  <c r="Q51" i="2"/>
  <c r="Q50" i="2"/>
  <c r="Q49" i="2"/>
  <c r="Q47" i="2"/>
  <c r="Q46" i="2"/>
  <c r="Q45" i="2"/>
  <c r="Q43" i="2"/>
  <c r="Q42" i="2"/>
  <c r="Q41" i="2"/>
  <c r="Q39" i="2"/>
  <c r="Q38" i="2"/>
  <c r="Q37" i="2"/>
  <c r="Q35" i="2"/>
  <c r="Q34" i="2"/>
  <c r="Q33" i="2"/>
  <c r="Q31" i="2"/>
  <c r="Q30" i="2"/>
  <c r="Q29" i="2"/>
  <c r="Q27" i="2"/>
  <c r="Q26" i="2"/>
  <c r="Q25" i="2"/>
  <c r="Q23" i="2"/>
  <c r="Q22" i="2"/>
  <c r="Q21" i="2"/>
  <c r="Q19" i="2"/>
  <c r="Q18" i="2"/>
  <c r="Q17" i="2"/>
  <c r="Q15" i="2"/>
  <c r="Q14" i="2"/>
  <c r="Q13" i="2"/>
  <c r="Q11" i="2"/>
  <c r="Q10" i="2"/>
  <c r="Q9" i="2"/>
  <c r="Q7" i="2"/>
  <c r="Q6" i="2"/>
  <c r="Q5" i="2"/>
  <c r="Q3" i="2"/>
  <c r="Q2" i="2"/>
</calcChain>
</file>

<file path=xl/sharedStrings.xml><?xml version="1.0" encoding="utf-8"?>
<sst xmlns="http://schemas.openxmlformats.org/spreadsheetml/2006/main" count="10599" uniqueCount="106">
  <si>
    <t/>
  </si>
  <si>
    <t>RV</t>
  </si>
  <si>
    <t>X</t>
  </si>
  <si>
    <t>EUR</t>
  </si>
  <si>
    <t>140000</t>
  </si>
  <si>
    <t>DZ</t>
  </si>
  <si>
    <t>DR</t>
  </si>
  <si>
    <t>DA</t>
  </si>
  <si>
    <t>A</t>
  </si>
  <si>
    <t>DG</t>
  </si>
  <si>
    <t>141000</t>
  </si>
  <si>
    <t>전표 유형</t>
  </si>
  <si>
    <t>증빙일</t>
  </si>
  <si>
    <t>전기일</t>
  </si>
  <si>
    <t>순 만기일</t>
  </si>
  <si>
    <t>반제일</t>
  </si>
  <si>
    <t>만기순액</t>
  </si>
  <si>
    <t>일(정가)</t>
  </si>
  <si>
    <t>금액(현지 통화)</t>
  </si>
  <si>
    <t>현지 통화</t>
  </si>
  <si>
    <t>전표 번호</t>
  </si>
  <si>
    <t>지급 방법</t>
  </si>
  <si>
    <t>할인 1 연체</t>
  </si>
  <si>
    <t>순만기일 후 연체</t>
  </si>
  <si>
    <t>G/L 계정</t>
  </si>
  <si>
    <t>계정</t>
  </si>
  <si>
    <t>Aging</t>
    <phoneticPr fontId="2" type="noConversion"/>
  </si>
  <si>
    <t>Aging Type</t>
    <phoneticPr fontId="2" type="noConversion"/>
  </si>
  <si>
    <t>①연체되지 않은 채권</t>
  </si>
  <si>
    <t>②만기경과 후 3개월 이하</t>
  </si>
  <si>
    <t>③만기경과 후 4~6개월</t>
  </si>
  <si>
    <t>④만기경과 후 7~12개월</t>
  </si>
  <si>
    <t>⑤만기경과 후 12개월 초과</t>
  </si>
  <si>
    <t>고객</t>
  </si>
  <si>
    <t>Cty</t>
  </si>
  <si>
    <t>이름 1</t>
  </si>
  <si>
    <t>도시</t>
  </si>
  <si>
    <t>DE</t>
  </si>
  <si>
    <t>Lampen-Markt GmbH</t>
  </si>
  <si>
    <t>Frankfurt</t>
  </si>
  <si>
    <t>Omega Soft-Hardware Markt</t>
  </si>
  <si>
    <t>Nuernberg</t>
  </si>
  <si>
    <t>Institut fuer Umweltforschung</t>
  </si>
  <si>
    <t>Muenchen</t>
  </si>
  <si>
    <t>Karsson High Tech Markt</t>
  </si>
  <si>
    <t>Becker AG</t>
  </si>
  <si>
    <t>Berlin</t>
  </si>
  <si>
    <t>K.F.W. Berlin</t>
  </si>
  <si>
    <t>Super Star Market</t>
  </si>
  <si>
    <t>Nicolas Kunst GmbH</t>
  </si>
  <si>
    <t>Heidelberg</t>
  </si>
  <si>
    <t>Amadeus</t>
  </si>
  <si>
    <t>Technik und Systeme GmbH</t>
  </si>
  <si>
    <t>Aachen</t>
  </si>
  <si>
    <t>A.I.T. GmbH</t>
  </si>
  <si>
    <t>Köln</t>
  </si>
  <si>
    <t>General Distributors GmbH</t>
  </si>
  <si>
    <t>Bremen</t>
  </si>
  <si>
    <t>C.A.S. Computer Application Systems</t>
  </si>
  <si>
    <t>Dresden</t>
  </si>
  <si>
    <t>TALPA GmbH</t>
  </si>
  <si>
    <t>Hannover</t>
  </si>
  <si>
    <t>Ehpfünf</t>
  </si>
  <si>
    <t>Bruchsal</t>
  </si>
  <si>
    <t>Software Systeme GmbH</t>
  </si>
  <si>
    <t>Bonn</t>
  </si>
  <si>
    <t>COMPU Tech. AG</t>
  </si>
  <si>
    <t>Koeln</t>
  </si>
  <si>
    <t>Jaspers Computers</t>
  </si>
  <si>
    <t>HTG Komponente GmbH</t>
  </si>
  <si>
    <t>Norbert Neumann</t>
  </si>
  <si>
    <t>Ina Imhof</t>
  </si>
  <si>
    <t>Ulla Ungerer</t>
  </si>
  <si>
    <t>Bernd Berger</t>
  </si>
  <si>
    <t>Markus Miller</t>
  </si>
  <si>
    <t>Michaela Meier</t>
  </si>
  <si>
    <t>Susanne Schmid</t>
  </si>
  <si>
    <t>Wolfgang Weber</t>
  </si>
  <si>
    <t>Sabine Schulze</t>
  </si>
  <si>
    <t>Herbert Huber</t>
  </si>
  <si>
    <t>Matthias Mayer</t>
  </si>
  <si>
    <t>Barbara Beckmann</t>
  </si>
  <si>
    <t>Rolf Rothmann</t>
  </si>
  <si>
    <t>TCC  AG</t>
  </si>
  <si>
    <t>Ferdinand Fichtel</t>
  </si>
  <si>
    <t>Hallmann Anlagenbau GmbH</t>
  </si>
  <si>
    <t>Hamm</t>
  </si>
  <si>
    <t>Hamburger Feinkost</t>
  </si>
  <si>
    <t>Hamburg</t>
  </si>
  <si>
    <t>Andrew Sands</t>
  </si>
  <si>
    <t>JOHN ABR</t>
  </si>
  <si>
    <t>JOHN AUGUSTINE</t>
  </si>
  <si>
    <t>FR</t>
  </si>
  <si>
    <t>Chris Michael</t>
  </si>
  <si>
    <t>PARIS</t>
  </si>
  <si>
    <t>Walther Maschinenbau GmbH</t>
  </si>
  <si>
    <t>München</t>
  </si>
  <si>
    <t>AT</t>
  </si>
  <si>
    <t>Schnelle Feuerwehr</t>
  </si>
  <si>
    <t>Graz</t>
  </si>
  <si>
    <t>Susanne Schenk</t>
  </si>
  <si>
    <t>Udo Uhland</t>
  </si>
  <si>
    <t>Stefan Schäfer</t>
  </si>
  <si>
    <t>Wanja Wagner</t>
  </si>
  <si>
    <t>Zoltan Ziegler</t>
  </si>
  <si>
    <t>As of date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</si>
</sst>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" x14ac:knownFonts="1">
    <font>
      <sz val="10"/>
      <name val="Arial"/>
    </font>
    <font>
      <sz val="10"/>
      <name val="Arial"/>
      <family val="2"/>
    </font>
    <font>
      <sz val="8"/>
      <name val="돋움"/>
      <family val="3"/>
      <charset val="129"/>
    </font>
    <font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vertical="top"/>
    </xf>
    <xf numFmtId="0" fontId="0" fillId="0" borderId="0" xfId="0" applyNumberFormat="1" applyAlignment="1">
      <alignment vertical="top"/>
    </xf>
    <xf numFmtId="0" fontId="3" fillId="3" borderId="1" xfId="0" applyFont="1" applyFill="1" applyBorder="1" applyAlignment="1">
      <alignment vertical="top"/>
    </xf>
    <xf numFmtId="0" fontId="3" fillId="3" borderId="0" xfId="0" applyFont="1" applyFill="1" applyAlignment="1">
      <alignment vertical="top"/>
    </xf>
    <xf numFmtId="0" fontId="1" fillId="2" borderId="1" xfId="1" applyFill="1" applyBorder="1" applyAlignment="1">
      <alignment vertical="top"/>
    </xf>
    <xf numFmtId="0" fontId="1" fillId="0" borderId="0" xfId="1" applyAlignment="1">
      <alignment vertical="top"/>
    </xf>
    <xf numFmtId="0" fontId="1" fillId="0" borderId="0" xfId="1" applyNumberFormat="1" applyAlignment="1">
      <alignment vertical="top"/>
    </xf>
    <xf numFmtId="176" fontId="0" fillId="0" borderId="0" xfId="0" applyNumberFormat="1" applyAlignment="1">
      <alignment vertical="top"/>
    </xf>
    <xf numFmtId="14" fontId="3" fillId="3" borderId="0" xfId="0" applyNumberFormat="1" applyFont="1" applyFill="1" applyAlignment="1">
      <alignment vertical="top"/>
    </xf>
  </cellXfs>
  <cellStyles count="2">
    <cellStyle name="Normal" xfId="0" builtinId="0"/>
    <cellStyle name="Normal 2" xfId="1" xr:uid="{D8383B21-A803-4969-AF25-CFC9328A5B2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B2655-5C7C-4FC8-B06E-56ECD9E70A39}">
  <dimension ref="A1:T655"/>
  <sheetViews>
    <sheetView topLeftCell="B1" workbookViewId="0">
      <selection activeCell="P5" sqref="P5"/>
    </sheetView>
  </sheetViews>
  <sheetFormatPr defaultRowHeight="13.2" outlineLevelRow="3" x14ac:dyDescent="0.25"/>
  <cols>
    <col min="1" max="1" width="7" bestFit="1" customWidth="1"/>
    <col min="2" max="5" width="13" bestFit="1" customWidth="1"/>
    <col min="6" max="6" width="6" bestFit="1" customWidth="1"/>
    <col min="7" max="7" width="7" bestFit="1" customWidth="1"/>
    <col min="8" max="8" width="13" bestFit="1" customWidth="1"/>
    <col min="9" max="9" width="7" bestFit="1" customWidth="1"/>
    <col min="10" max="10" width="12" bestFit="1" customWidth="1"/>
    <col min="11" max="11" width="7" bestFit="1" customWidth="1"/>
    <col min="12" max="12" width="9" bestFit="1" customWidth="1"/>
    <col min="13" max="13" width="11" bestFit="1" customWidth="1"/>
    <col min="14" max="14" width="8" bestFit="1" customWidth="1"/>
    <col min="15" max="15" width="7" bestFit="1" customWidth="1"/>
    <col min="19" max="19" width="11.44140625" customWidth="1"/>
    <col min="20" max="20" width="11" bestFit="1" customWidth="1"/>
  </cols>
  <sheetData>
    <row r="1" spans="1:20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5" t="s">
        <v>26</v>
      </c>
      <c r="Q1" s="5" t="s">
        <v>27</v>
      </c>
      <c r="S1" s="8" t="s">
        <v>105</v>
      </c>
      <c r="T1" s="13">
        <v>40908</v>
      </c>
    </row>
    <row r="2" spans="1:20" ht="13.95" customHeight="1" outlineLevel="3" x14ac:dyDescent="0.25">
      <c r="A2" t="s">
        <v>1</v>
      </c>
      <c r="B2" s="2">
        <v>43221</v>
      </c>
      <c r="C2" s="2">
        <v>43221</v>
      </c>
      <c r="D2" s="2">
        <v>43266</v>
      </c>
      <c r="E2" s="2"/>
      <c r="F2" t="s">
        <v>2</v>
      </c>
      <c r="G2" s="3">
        <v>45</v>
      </c>
      <c r="H2" s="4">
        <v>20</v>
      </c>
      <c r="I2" t="s">
        <v>3</v>
      </c>
      <c r="J2" s="6">
        <v>1400000054</v>
      </c>
      <c r="K2" t="s">
        <v>0</v>
      </c>
      <c r="L2" s="3">
        <v>819</v>
      </c>
      <c r="M2" s="3">
        <v>788</v>
      </c>
      <c r="N2" t="s">
        <v>4</v>
      </c>
      <c r="O2" s="6">
        <v>1001</v>
      </c>
      <c r="P2" s="12">
        <f>$T$1-D2</f>
        <v>-2358</v>
      </c>
      <c r="Q2" t="str">
        <f>IF(P2&lt;=0,"①연체되지 않은 채권",IF(P2&lt;=92,"②만기경과 후 3개월 이하",IF(P2&lt;=184,"③만기경과 후 4~6개월",IF(P2&lt;=365,"④만기경과 후 7~12개월","⑤만기경과 후 12개월 초과"))))</f>
        <v>①연체되지 않은 채권</v>
      </c>
    </row>
    <row r="3" spans="1:20" ht="13.95" customHeight="1" outlineLevel="3" x14ac:dyDescent="0.25">
      <c r="A3" t="s">
        <v>1</v>
      </c>
      <c r="B3" s="2">
        <v>43227</v>
      </c>
      <c r="C3" s="2">
        <v>43227</v>
      </c>
      <c r="D3" s="2">
        <v>43272</v>
      </c>
      <c r="E3" s="2"/>
      <c r="F3" t="s">
        <v>2</v>
      </c>
      <c r="G3" s="3">
        <v>45</v>
      </c>
      <c r="H3" s="4">
        <v>20</v>
      </c>
      <c r="I3" t="s">
        <v>3</v>
      </c>
      <c r="J3" s="6">
        <v>1400000088</v>
      </c>
      <c r="K3" t="s">
        <v>0</v>
      </c>
      <c r="L3" s="3">
        <v>813</v>
      </c>
      <c r="M3" s="3">
        <v>782</v>
      </c>
      <c r="N3" t="s">
        <v>4</v>
      </c>
      <c r="O3" s="6">
        <v>1001</v>
      </c>
      <c r="P3" s="12">
        <f t="shared" ref="P3:P66" si="0">$T$1-D3</f>
        <v>-2364</v>
      </c>
      <c r="Q3" t="str">
        <f t="shared" ref="Q3:Q66" si="1">IF(P3&lt;=0,"①연체되지 않은 채권",IF(P3&lt;=92,"②만기경과 후 3개월 이하",IF(P3&lt;=184,"③만기경과 후 4~6개월",IF(P3&lt;=365,"④만기경과 후 7~12개월","⑤만기경과 후 12개월 초과"))))</f>
        <v>①연체되지 않은 채권</v>
      </c>
    </row>
    <row r="4" spans="1:20" ht="13.95" customHeight="1" outlineLevel="3" x14ac:dyDescent="0.25">
      <c r="A4" t="s">
        <v>5</v>
      </c>
      <c r="B4" s="2">
        <v>43237</v>
      </c>
      <c r="C4" s="2">
        <v>43298</v>
      </c>
      <c r="D4" s="2">
        <v>43237</v>
      </c>
      <c r="E4" s="2"/>
      <c r="F4" t="s">
        <v>2</v>
      </c>
      <c r="G4" s="3">
        <v>0</v>
      </c>
      <c r="H4" s="4">
        <v>-0.6</v>
      </c>
      <c r="I4" t="s">
        <v>3</v>
      </c>
      <c r="J4" s="6">
        <v>1400000018</v>
      </c>
      <c r="K4" t="s">
        <v>0</v>
      </c>
      <c r="L4" s="3">
        <v>817</v>
      </c>
      <c r="M4" s="3">
        <v>817</v>
      </c>
      <c r="N4" t="s">
        <v>4</v>
      </c>
      <c r="O4" s="6">
        <v>1002</v>
      </c>
      <c r="P4" s="12">
        <f t="shared" si="0"/>
        <v>-2329</v>
      </c>
      <c r="Q4" t="str">
        <f t="shared" si="1"/>
        <v>①연체되지 않은 채권</v>
      </c>
    </row>
    <row r="5" spans="1:20" ht="13.95" customHeight="1" outlineLevel="3" x14ac:dyDescent="0.25">
      <c r="A5" t="s">
        <v>1</v>
      </c>
      <c r="B5" s="2">
        <v>43243</v>
      </c>
      <c r="C5" s="2">
        <v>43243</v>
      </c>
      <c r="D5" s="2">
        <v>43288</v>
      </c>
      <c r="E5" s="2"/>
      <c r="F5" t="s">
        <v>2</v>
      </c>
      <c r="G5" s="3">
        <v>45</v>
      </c>
      <c r="H5" s="4">
        <v>100</v>
      </c>
      <c r="I5" t="s">
        <v>3</v>
      </c>
      <c r="J5" s="6">
        <v>1400000051</v>
      </c>
      <c r="K5" t="s">
        <v>0</v>
      </c>
      <c r="L5" s="3">
        <v>797</v>
      </c>
      <c r="M5" s="3">
        <v>766</v>
      </c>
      <c r="N5" t="s">
        <v>4</v>
      </c>
      <c r="O5" s="6">
        <v>1002</v>
      </c>
      <c r="P5" s="12">
        <f t="shared" si="0"/>
        <v>-2380</v>
      </c>
      <c r="Q5" t="str">
        <f t="shared" si="1"/>
        <v>①연체되지 않은 채권</v>
      </c>
    </row>
    <row r="6" spans="1:20" ht="13.95" customHeight="1" outlineLevel="3" x14ac:dyDescent="0.25">
      <c r="A6" t="s">
        <v>1</v>
      </c>
      <c r="B6" s="2">
        <v>40819</v>
      </c>
      <c r="C6" s="2">
        <v>40819</v>
      </c>
      <c r="D6" s="2">
        <v>40864</v>
      </c>
      <c r="E6" s="2"/>
      <c r="F6" t="s">
        <v>2</v>
      </c>
      <c r="G6" s="3">
        <v>45</v>
      </c>
      <c r="H6" s="4">
        <v>21259.7</v>
      </c>
      <c r="I6" t="s">
        <v>3</v>
      </c>
      <c r="J6" s="6">
        <v>1400000083</v>
      </c>
      <c r="K6" t="s">
        <v>0</v>
      </c>
      <c r="L6" s="3">
        <v>3221</v>
      </c>
      <c r="M6" s="3">
        <v>3190</v>
      </c>
      <c r="N6" t="s">
        <v>4</v>
      </c>
      <c r="O6" s="6">
        <v>1032</v>
      </c>
      <c r="P6" s="12">
        <f t="shared" si="0"/>
        <v>44</v>
      </c>
      <c r="Q6" t="str">
        <f t="shared" si="1"/>
        <v>②만기경과 후 3개월 이하</v>
      </c>
    </row>
    <row r="7" spans="1:20" ht="13.95" customHeight="1" outlineLevel="3" x14ac:dyDescent="0.25">
      <c r="A7" t="s">
        <v>1</v>
      </c>
      <c r="B7" s="2">
        <v>40819</v>
      </c>
      <c r="C7" s="2">
        <v>40819</v>
      </c>
      <c r="D7" s="2">
        <v>40864</v>
      </c>
      <c r="E7" s="2"/>
      <c r="F7" t="s">
        <v>2</v>
      </c>
      <c r="G7" s="3">
        <v>45</v>
      </c>
      <c r="H7" s="4">
        <v>36557.4</v>
      </c>
      <c r="I7" t="s">
        <v>3</v>
      </c>
      <c r="J7" s="6">
        <v>1400000084</v>
      </c>
      <c r="K7" t="s">
        <v>0</v>
      </c>
      <c r="L7" s="3">
        <v>3221</v>
      </c>
      <c r="M7" s="3">
        <v>3190</v>
      </c>
      <c r="N7" t="s">
        <v>4</v>
      </c>
      <c r="O7" s="6">
        <v>1032</v>
      </c>
      <c r="P7" s="12">
        <f t="shared" si="0"/>
        <v>44</v>
      </c>
      <c r="Q7" t="str">
        <f t="shared" si="1"/>
        <v>②만기경과 후 3개월 이하</v>
      </c>
    </row>
    <row r="8" spans="1:20" ht="13.95" customHeight="1" outlineLevel="3" x14ac:dyDescent="0.25">
      <c r="A8" t="s">
        <v>1</v>
      </c>
      <c r="B8" s="2">
        <v>40819</v>
      </c>
      <c r="C8" s="2">
        <v>40819</v>
      </c>
      <c r="D8" s="2">
        <v>40864</v>
      </c>
      <c r="E8" s="2"/>
      <c r="F8" t="s">
        <v>2</v>
      </c>
      <c r="G8" s="3">
        <v>45</v>
      </c>
      <c r="H8" s="4">
        <v>51231</v>
      </c>
      <c r="I8" t="s">
        <v>3</v>
      </c>
      <c r="J8" s="6">
        <v>1400000085</v>
      </c>
      <c r="K8" t="s">
        <v>0</v>
      </c>
      <c r="L8" s="3">
        <v>3221</v>
      </c>
      <c r="M8" s="3">
        <v>3190</v>
      </c>
      <c r="N8" t="s">
        <v>4</v>
      </c>
      <c r="O8" s="6">
        <v>1032</v>
      </c>
      <c r="P8" s="12">
        <f t="shared" si="0"/>
        <v>44</v>
      </c>
      <c r="Q8" t="str">
        <f t="shared" si="1"/>
        <v>②만기경과 후 3개월 이하</v>
      </c>
    </row>
    <row r="9" spans="1:20" ht="13.95" customHeight="1" outlineLevel="3" x14ac:dyDescent="0.25">
      <c r="A9" t="s">
        <v>1</v>
      </c>
      <c r="B9" s="2">
        <v>40863</v>
      </c>
      <c r="C9" s="2">
        <v>40863</v>
      </c>
      <c r="D9" s="2">
        <v>40908</v>
      </c>
      <c r="E9" s="2"/>
      <c r="F9" t="s">
        <v>2</v>
      </c>
      <c r="G9" s="3">
        <v>45</v>
      </c>
      <c r="H9" s="4">
        <v>27333.9</v>
      </c>
      <c r="I9" t="s">
        <v>3</v>
      </c>
      <c r="J9" s="6">
        <v>1400000092</v>
      </c>
      <c r="K9" t="s">
        <v>0</v>
      </c>
      <c r="L9" s="3">
        <v>3177</v>
      </c>
      <c r="M9" s="3">
        <v>3146</v>
      </c>
      <c r="N9" t="s">
        <v>4</v>
      </c>
      <c r="O9" s="6">
        <v>1032</v>
      </c>
      <c r="P9" s="12">
        <f t="shared" si="0"/>
        <v>0</v>
      </c>
      <c r="Q9" t="str">
        <f t="shared" si="1"/>
        <v>①연체되지 않은 채권</v>
      </c>
    </row>
    <row r="10" spans="1:20" ht="13.95" customHeight="1" outlineLevel="3" x14ac:dyDescent="0.25">
      <c r="A10" t="s">
        <v>1</v>
      </c>
      <c r="B10" s="2">
        <v>40863</v>
      </c>
      <c r="C10" s="2">
        <v>40863</v>
      </c>
      <c r="D10" s="2">
        <v>40908</v>
      </c>
      <c r="E10" s="2"/>
      <c r="F10" t="s">
        <v>2</v>
      </c>
      <c r="G10" s="3">
        <v>45</v>
      </c>
      <c r="H10" s="4">
        <v>33234</v>
      </c>
      <c r="I10" t="s">
        <v>3</v>
      </c>
      <c r="J10" s="6">
        <v>1400000093</v>
      </c>
      <c r="K10" t="s">
        <v>0</v>
      </c>
      <c r="L10" s="3">
        <v>3177</v>
      </c>
      <c r="M10" s="3">
        <v>3146</v>
      </c>
      <c r="N10" t="s">
        <v>4</v>
      </c>
      <c r="O10" s="6">
        <v>1032</v>
      </c>
      <c r="P10" s="12">
        <f t="shared" si="0"/>
        <v>0</v>
      </c>
      <c r="Q10" t="str">
        <f t="shared" si="1"/>
        <v>①연체되지 않은 채권</v>
      </c>
    </row>
    <row r="11" spans="1:20" ht="13.95" customHeight="1" outlineLevel="3" x14ac:dyDescent="0.25">
      <c r="A11" t="s">
        <v>1</v>
      </c>
      <c r="B11" s="2">
        <v>40863</v>
      </c>
      <c r="C11" s="2">
        <v>40863</v>
      </c>
      <c r="D11" s="2">
        <v>40908</v>
      </c>
      <c r="E11" s="2"/>
      <c r="F11" t="s">
        <v>2</v>
      </c>
      <c r="G11" s="3">
        <v>45</v>
      </c>
      <c r="H11" s="4">
        <v>47815.6</v>
      </c>
      <c r="I11" t="s">
        <v>3</v>
      </c>
      <c r="J11" s="6">
        <v>1400000094</v>
      </c>
      <c r="K11" t="s">
        <v>0</v>
      </c>
      <c r="L11" s="3">
        <v>3177</v>
      </c>
      <c r="M11" s="3">
        <v>3146</v>
      </c>
      <c r="N11" t="s">
        <v>4</v>
      </c>
      <c r="O11" s="6">
        <v>1032</v>
      </c>
      <c r="P11" s="12">
        <f t="shared" si="0"/>
        <v>0</v>
      </c>
      <c r="Q11" t="str">
        <f t="shared" si="1"/>
        <v>①연체되지 않은 채권</v>
      </c>
    </row>
    <row r="12" spans="1:20" ht="13.95" customHeight="1" outlineLevel="3" x14ac:dyDescent="0.25">
      <c r="A12" t="s">
        <v>1</v>
      </c>
      <c r="B12" s="2">
        <v>40882</v>
      </c>
      <c r="C12" s="2">
        <v>40882</v>
      </c>
      <c r="D12" s="2">
        <v>40927</v>
      </c>
      <c r="E12" s="2"/>
      <c r="F12" t="s">
        <v>2</v>
      </c>
      <c r="G12" s="3">
        <v>45</v>
      </c>
      <c r="H12" s="4">
        <v>33408.1</v>
      </c>
      <c r="I12" t="s">
        <v>3</v>
      </c>
      <c r="J12" s="6">
        <v>1400000161</v>
      </c>
      <c r="K12" t="s">
        <v>0</v>
      </c>
      <c r="L12" s="3">
        <v>3158</v>
      </c>
      <c r="M12" s="3">
        <v>3127</v>
      </c>
      <c r="N12" t="s">
        <v>4</v>
      </c>
      <c r="O12" s="6">
        <v>1032</v>
      </c>
      <c r="P12" s="12">
        <f t="shared" si="0"/>
        <v>-19</v>
      </c>
      <c r="Q12" t="str">
        <f t="shared" si="1"/>
        <v>①연체되지 않은 채권</v>
      </c>
    </row>
    <row r="13" spans="1:20" ht="13.95" customHeight="1" outlineLevel="3" x14ac:dyDescent="0.25">
      <c r="A13" t="s">
        <v>1</v>
      </c>
      <c r="B13" s="2">
        <v>40882</v>
      </c>
      <c r="C13" s="2">
        <v>40882</v>
      </c>
      <c r="D13" s="2">
        <v>40927</v>
      </c>
      <c r="E13" s="2"/>
      <c r="F13" t="s">
        <v>2</v>
      </c>
      <c r="G13" s="3">
        <v>45</v>
      </c>
      <c r="H13" s="4">
        <v>29910.6</v>
      </c>
      <c r="I13" t="s">
        <v>3</v>
      </c>
      <c r="J13" s="6">
        <v>1400000162</v>
      </c>
      <c r="K13" t="s">
        <v>0</v>
      </c>
      <c r="L13" s="3">
        <v>3158</v>
      </c>
      <c r="M13" s="3">
        <v>3127</v>
      </c>
      <c r="N13" t="s">
        <v>4</v>
      </c>
      <c r="O13" s="6">
        <v>1032</v>
      </c>
      <c r="P13" s="12">
        <f t="shared" si="0"/>
        <v>-19</v>
      </c>
      <c r="Q13" t="str">
        <f t="shared" si="1"/>
        <v>①연체되지 않은 채권</v>
      </c>
    </row>
    <row r="14" spans="1:20" ht="13.95" customHeight="1" outlineLevel="3" x14ac:dyDescent="0.25">
      <c r="A14" t="s">
        <v>1</v>
      </c>
      <c r="B14" s="2">
        <v>40882</v>
      </c>
      <c r="C14" s="2">
        <v>40882</v>
      </c>
      <c r="D14" s="2">
        <v>40927</v>
      </c>
      <c r="E14" s="2"/>
      <c r="F14" t="s">
        <v>2</v>
      </c>
      <c r="G14" s="3">
        <v>45</v>
      </c>
      <c r="H14" s="4">
        <v>44400.2</v>
      </c>
      <c r="I14" t="s">
        <v>3</v>
      </c>
      <c r="J14" s="6">
        <v>1400000163</v>
      </c>
      <c r="K14" t="s">
        <v>0</v>
      </c>
      <c r="L14" s="3">
        <v>3158</v>
      </c>
      <c r="M14" s="3">
        <v>3127</v>
      </c>
      <c r="N14" t="s">
        <v>4</v>
      </c>
      <c r="O14" s="6">
        <v>1032</v>
      </c>
      <c r="P14" s="12">
        <f t="shared" si="0"/>
        <v>-19</v>
      </c>
      <c r="Q14" t="str">
        <f t="shared" si="1"/>
        <v>①연체되지 않은 채권</v>
      </c>
    </row>
    <row r="15" spans="1:20" ht="13.95" customHeight="1" outlineLevel="3" x14ac:dyDescent="0.25">
      <c r="A15" t="s">
        <v>1</v>
      </c>
      <c r="B15" s="2">
        <v>40939</v>
      </c>
      <c r="C15" s="2">
        <v>40939</v>
      </c>
      <c r="D15" s="2">
        <v>40984</v>
      </c>
      <c r="E15" s="2"/>
      <c r="F15" t="s">
        <v>2</v>
      </c>
      <c r="G15" s="3">
        <v>45</v>
      </c>
      <c r="H15" s="4">
        <v>30371</v>
      </c>
      <c r="I15" t="s">
        <v>3</v>
      </c>
      <c r="J15" s="6">
        <v>1400000000</v>
      </c>
      <c r="K15" t="s">
        <v>0</v>
      </c>
      <c r="L15" s="3">
        <v>3101</v>
      </c>
      <c r="M15" s="3">
        <v>3070</v>
      </c>
      <c r="N15" t="s">
        <v>4</v>
      </c>
      <c r="O15" s="6">
        <v>1032</v>
      </c>
      <c r="P15" s="12">
        <f t="shared" si="0"/>
        <v>-76</v>
      </c>
      <c r="Q15" t="str">
        <f t="shared" si="1"/>
        <v>①연체되지 않은 채권</v>
      </c>
    </row>
    <row r="16" spans="1:20" ht="13.95" customHeight="1" outlineLevel="3" x14ac:dyDescent="0.25">
      <c r="A16" t="s">
        <v>1</v>
      </c>
      <c r="B16" s="2">
        <v>40939</v>
      </c>
      <c r="C16" s="2">
        <v>40939</v>
      </c>
      <c r="D16" s="2">
        <v>40984</v>
      </c>
      <c r="E16" s="2"/>
      <c r="F16" t="s">
        <v>2</v>
      </c>
      <c r="G16" s="3">
        <v>45</v>
      </c>
      <c r="H16" s="4">
        <v>23263.8</v>
      </c>
      <c r="I16" t="s">
        <v>3</v>
      </c>
      <c r="J16" s="6">
        <v>1400000001</v>
      </c>
      <c r="K16" t="s">
        <v>0</v>
      </c>
      <c r="L16" s="3">
        <v>3101</v>
      </c>
      <c r="M16" s="3">
        <v>3070</v>
      </c>
      <c r="N16" t="s">
        <v>4</v>
      </c>
      <c r="O16" s="6">
        <v>1032</v>
      </c>
      <c r="P16" s="12">
        <f t="shared" si="0"/>
        <v>-76</v>
      </c>
      <c r="Q16" t="str">
        <f t="shared" si="1"/>
        <v>①연체되지 않은 채권</v>
      </c>
    </row>
    <row r="17" spans="1:17" ht="13.95" customHeight="1" outlineLevel="3" x14ac:dyDescent="0.25">
      <c r="A17" t="s">
        <v>1</v>
      </c>
      <c r="B17" s="2">
        <v>40939</v>
      </c>
      <c r="C17" s="2">
        <v>40939</v>
      </c>
      <c r="D17" s="2">
        <v>40984</v>
      </c>
      <c r="E17" s="2"/>
      <c r="F17" t="s">
        <v>2</v>
      </c>
      <c r="G17" s="3">
        <v>45</v>
      </c>
      <c r="H17" s="4">
        <v>40984.800000000003</v>
      </c>
      <c r="I17" t="s">
        <v>3</v>
      </c>
      <c r="J17" s="6">
        <v>1400000002</v>
      </c>
      <c r="K17" t="s">
        <v>0</v>
      </c>
      <c r="L17" s="3">
        <v>3101</v>
      </c>
      <c r="M17" s="3">
        <v>3070</v>
      </c>
      <c r="N17" t="s">
        <v>4</v>
      </c>
      <c r="O17" s="6">
        <v>1032</v>
      </c>
      <c r="P17" s="12">
        <f t="shared" si="0"/>
        <v>-76</v>
      </c>
      <c r="Q17" t="str">
        <f t="shared" si="1"/>
        <v>①연체되지 않은 채권</v>
      </c>
    </row>
    <row r="18" spans="1:17" ht="13.95" customHeight="1" outlineLevel="3" x14ac:dyDescent="0.25">
      <c r="A18" t="s">
        <v>1</v>
      </c>
      <c r="B18" s="2">
        <v>40966</v>
      </c>
      <c r="C18" s="2">
        <v>40966</v>
      </c>
      <c r="D18" s="2">
        <v>41011</v>
      </c>
      <c r="E18" s="2"/>
      <c r="F18" t="s">
        <v>2</v>
      </c>
      <c r="G18" s="3">
        <v>45</v>
      </c>
      <c r="H18" s="4">
        <v>36445.199999999997</v>
      </c>
      <c r="I18" t="s">
        <v>3</v>
      </c>
      <c r="J18" s="6">
        <v>1400000009</v>
      </c>
      <c r="K18" t="s">
        <v>0</v>
      </c>
      <c r="L18" s="3">
        <v>3074</v>
      </c>
      <c r="M18" s="3">
        <v>3043</v>
      </c>
      <c r="N18" t="s">
        <v>4</v>
      </c>
      <c r="O18" s="6">
        <v>1032</v>
      </c>
      <c r="P18" s="12">
        <f t="shared" si="0"/>
        <v>-103</v>
      </c>
      <c r="Q18" t="str">
        <f t="shared" si="1"/>
        <v>①연체되지 않은 채권</v>
      </c>
    </row>
    <row r="19" spans="1:17" ht="13.95" customHeight="1" outlineLevel="3" x14ac:dyDescent="0.25">
      <c r="A19" t="s">
        <v>1</v>
      </c>
      <c r="B19" s="2">
        <v>40966</v>
      </c>
      <c r="C19" s="2">
        <v>40966</v>
      </c>
      <c r="D19" s="2">
        <v>41011</v>
      </c>
      <c r="E19" s="2"/>
      <c r="F19" t="s">
        <v>2</v>
      </c>
      <c r="G19" s="3">
        <v>45</v>
      </c>
      <c r="H19" s="4">
        <v>29910.6</v>
      </c>
      <c r="I19" t="s">
        <v>3</v>
      </c>
      <c r="J19" s="6">
        <v>1400000010</v>
      </c>
      <c r="K19" t="s">
        <v>0</v>
      </c>
      <c r="L19" s="3">
        <v>3074</v>
      </c>
      <c r="M19" s="3">
        <v>3043</v>
      </c>
      <c r="N19" t="s">
        <v>4</v>
      </c>
      <c r="O19" s="6">
        <v>1032</v>
      </c>
      <c r="P19" s="12">
        <f t="shared" si="0"/>
        <v>-103</v>
      </c>
      <c r="Q19" t="str">
        <f t="shared" si="1"/>
        <v>①연체되지 않은 채권</v>
      </c>
    </row>
    <row r="20" spans="1:17" ht="13.95" customHeight="1" outlineLevel="3" x14ac:dyDescent="0.25">
      <c r="A20" t="s">
        <v>1</v>
      </c>
      <c r="B20" s="2">
        <v>40966</v>
      </c>
      <c r="C20" s="2">
        <v>40966</v>
      </c>
      <c r="D20" s="2">
        <v>41011</v>
      </c>
      <c r="E20" s="2"/>
      <c r="F20" t="s">
        <v>2</v>
      </c>
      <c r="G20" s="3">
        <v>45</v>
      </c>
      <c r="H20" s="4">
        <v>37569.4</v>
      </c>
      <c r="I20" t="s">
        <v>3</v>
      </c>
      <c r="J20" s="6">
        <v>1400000011</v>
      </c>
      <c r="K20" t="s">
        <v>0</v>
      </c>
      <c r="L20" s="3">
        <v>3074</v>
      </c>
      <c r="M20" s="3">
        <v>3043</v>
      </c>
      <c r="N20" t="s">
        <v>4</v>
      </c>
      <c r="O20" s="6">
        <v>1032</v>
      </c>
      <c r="P20" s="12">
        <f t="shared" si="0"/>
        <v>-103</v>
      </c>
      <c r="Q20" t="str">
        <f t="shared" si="1"/>
        <v>①연체되지 않은 채권</v>
      </c>
    </row>
    <row r="21" spans="1:17" ht="13.95" customHeight="1" outlineLevel="3" x14ac:dyDescent="0.25">
      <c r="A21" t="s">
        <v>1</v>
      </c>
      <c r="B21" s="2">
        <v>40973</v>
      </c>
      <c r="C21" s="2">
        <v>40973</v>
      </c>
      <c r="D21" s="2">
        <v>41018</v>
      </c>
      <c r="E21" s="2"/>
      <c r="F21" t="s">
        <v>2</v>
      </c>
      <c r="G21" s="3">
        <v>45</v>
      </c>
      <c r="H21" s="4">
        <v>45556.5</v>
      </c>
      <c r="I21" t="s">
        <v>3</v>
      </c>
      <c r="J21" s="6">
        <v>1400000018</v>
      </c>
      <c r="K21" t="s">
        <v>0</v>
      </c>
      <c r="L21" s="3">
        <v>3067</v>
      </c>
      <c r="M21" s="3">
        <v>3036</v>
      </c>
      <c r="N21" t="s">
        <v>4</v>
      </c>
      <c r="O21" s="6">
        <v>1032</v>
      </c>
      <c r="P21" s="12">
        <f t="shared" si="0"/>
        <v>-110</v>
      </c>
      <c r="Q21" t="str">
        <f t="shared" si="1"/>
        <v>①연체되지 않은 채권</v>
      </c>
    </row>
    <row r="22" spans="1:17" ht="13.95" customHeight="1" outlineLevel="3" x14ac:dyDescent="0.25">
      <c r="A22" t="s">
        <v>1</v>
      </c>
      <c r="B22" s="2">
        <v>40973</v>
      </c>
      <c r="C22" s="2">
        <v>40973</v>
      </c>
      <c r="D22" s="2">
        <v>41018</v>
      </c>
      <c r="E22" s="2"/>
      <c r="F22" t="s">
        <v>2</v>
      </c>
      <c r="G22" s="3">
        <v>45</v>
      </c>
      <c r="H22" s="4">
        <v>29910.6</v>
      </c>
      <c r="I22" t="s">
        <v>3</v>
      </c>
      <c r="J22" s="6">
        <v>1400000019</v>
      </c>
      <c r="K22" t="s">
        <v>0</v>
      </c>
      <c r="L22" s="3">
        <v>3067</v>
      </c>
      <c r="M22" s="3">
        <v>3036</v>
      </c>
      <c r="N22" t="s">
        <v>4</v>
      </c>
      <c r="O22" s="6">
        <v>1032</v>
      </c>
      <c r="P22" s="12">
        <f t="shared" si="0"/>
        <v>-110</v>
      </c>
      <c r="Q22" t="str">
        <f t="shared" si="1"/>
        <v>①연체되지 않은 채권</v>
      </c>
    </row>
    <row r="23" spans="1:17" ht="13.95" customHeight="1" outlineLevel="3" x14ac:dyDescent="0.25">
      <c r="A23" t="s">
        <v>1</v>
      </c>
      <c r="B23" s="2">
        <v>40973</v>
      </c>
      <c r="C23" s="2">
        <v>40973</v>
      </c>
      <c r="D23" s="2">
        <v>41018</v>
      </c>
      <c r="E23" s="2"/>
      <c r="F23" t="s">
        <v>2</v>
      </c>
      <c r="G23" s="3">
        <v>45</v>
      </c>
      <c r="H23" s="4">
        <v>30738.6</v>
      </c>
      <c r="I23" t="s">
        <v>3</v>
      </c>
      <c r="J23" s="6">
        <v>1400000020</v>
      </c>
      <c r="K23" t="s">
        <v>0</v>
      </c>
      <c r="L23" s="3">
        <v>3067</v>
      </c>
      <c r="M23" s="3">
        <v>3036</v>
      </c>
      <c r="N23" t="s">
        <v>4</v>
      </c>
      <c r="O23" s="6">
        <v>1032</v>
      </c>
      <c r="P23" s="12">
        <f t="shared" si="0"/>
        <v>-110</v>
      </c>
      <c r="Q23" t="str">
        <f t="shared" si="1"/>
        <v>①연체되지 않은 채권</v>
      </c>
    </row>
    <row r="24" spans="1:17" ht="13.95" customHeight="1" outlineLevel="3" x14ac:dyDescent="0.25">
      <c r="A24" t="s">
        <v>1</v>
      </c>
      <c r="B24" s="2">
        <v>41011</v>
      </c>
      <c r="C24" s="2">
        <v>41011</v>
      </c>
      <c r="D24" s="2">
        <v>41056</v>
      </c>
      <c r="E24" s="2"/>
      <c r="F24" t="s">
        <v>2</v>
      </c>
      <c r="G24" s="3">
        <v>45</v>
      </c>
      <c r="H24" s="4">
        <v>36445.199999999997</v>
      </c>
      <c r="I24" t="s">
        <v>3</v>
      </c>
      <c r="J24" s="6">
        <v>1400000027</v>
      </c>
      <c r="K24" t="s">
        <v>0</v>
      </c>
      <c r="L24" s="3">
        <v>3029</v>
      </c>
      <c r="M24" s="3">
        <v>2998</v>
      </c>
      <c r="N24" t="s">
        <v>4</v>
      </c>
      <c r="O24" s="6">
        <v>1032</v>
      </c>
      <c r="P24" s="12">
        <f t="shared" si="0"/>
        <v>-148</v>
      </c>
      <c r="Q24" t="str">
        <f t="shared" si="1"/>
        <v>①연체되지 않은 채권</v>
      </c>
    </row>
    <row r="25" spans="1:17" ht="13.95" customHeight="1" outlineLevel="3" x14ac:dyDescent="0.25">
      <c r="A25" t="s">
        <v>1</v>
      </c>
      <c r="B25" s="2">
        <v>41011</v>
      </c>
      <c r="C25" s="2">
        <v>41011</v>
      </c>
      <c r="D25" s="2">
        <v>41056</v>
      </c>
      <c r="E25" s="2"/>
      <c r="F25" t="s">
        <v>2</v>
      </c>
      <c r="G25" s="3">
        <v>45</v>
      </c>
      <c r="H25" s="4">
        <v>36557.4</v>
      </c>
      <c r="I25" t="s">
        <v>3</v>
      </c>
      <c r="J25" s="6">
        <v>1400000028</v>
      </c>
      <c r="K25" t="s">
        <v>0</v>
      </c>
      <c r="L25" s="3">
        <v>3029</v>
      </c>
      <c r="M25" s="3">
        <v>2998</v>
      </c>
      <c r="N25" t="s">
        <v>4</v>
      </c>
      <c r="O25" s="6">
        <v>1032</v>
      </c>
      <c r="P25" s="12">
        <f t="shared" si="0"/>
        <v>-148</v>
      </c>
      <c r="Q25" t="str">
        <f t="shared" si="1"/>
        <v>①연체되지 않은 채권</v>
      </c>
    </row>
    <row r="26" spans="1:17" ht="13.95" customHeight="1" outlineLevel="3" x14ac:dyDescent="0.25">
      <c r="A26" t="s">
        <v>1</v>
      </c>
      <c r="B26" s="2">
        <v>41011</v>
      </c>
      <c r="C26" s="2">
        <v>41011</v>
      </c>
      <c r="D26" s="2">
        <v>41056</v>
      </c>
      <c r="E26" s="2"/>
      <c r="F26" t="s">
        <v>2</v>
      </c>
      <c r="G26" s="3">
        <v>45</v>
      </c>
      <c r="H26" s="4">
        <v>23907.8</v>
      </c>
      <c r="I26" t="s">
        <v>3</v>
      </c>
      <c r="J26" s="6">
        <v>1400000029</v>
      </c>
      <c r="K26" t="s">
        <v>0</v>
      </c>
      <c r="L26" s="3">
        <v>3029</v>
      </c>
      <c r="M26" s="3">
        <v>2998</v>
      </c>
      <c r="N26" t="s">
        <v>4</v>
      </c>
      <c r="O26" s="6">
        <v>1032</v>
      </c>
      <c r="P26" s="12">
        <f t="shared" si="0"/>
        <v>-148</v>
      </c>
      <c r="Q26" t="str">
        <f t="shared" si="1"/>
        <v>①연체되지 않은 채권</v>
      </c>
    </row>
    <row r="27" spans="1:17" ht="13.95" customHeight="1" outlineLevel="3" x14ac:dyDescent="0.25">
      <c r="A27" t="s">
        <v>1</v>
      </c>
      <c r="B27" s="2">
        <v>40791</v>
      </c>
      <c r="C27" s="2">
        <v>40791</v>
      </c>
      <c r="D27" s="2">
        <v>40836</v>
      </c>
      <c r="E27" s="2"/>
      <c r="F27" t="s">
        <v>2</v>
      </c>
      <c r="G27" s="3">
        <v>45</v>
      </c>
      <c r="H27" s="4">
        <v>44400.2</v>
      </c>
      <c r="I27" t="s">
        <v>3</v>
      </c>
      <c r="J27" s="6">
        <v>1400000076</v>
      </c>
      <c r="K27" t="s">
        <v>0</v>
      </c>
      <c r="L27" s="3">
        <v>3249</v>
      </c>
      <c r="M27" s="3">
        <v>3218</v>
      </c>
      <c r="N27" t="s">
        <v>4</v>
      </c>
      <c r="O27" s="6">
        <v>1032</v>
      </c>
      <c r="P27" s="12">
        <f t="shared" si="0"/>
        <v>72</v>
      </c>
      <c r="Q27" t="str">
        <f t="shared" si="1"/>
        <v>②만기경과 후 3개월 이하</v>
      </c>
    </row>
    <row r="28" spans="1:17" ht="13.95" customHeight="1" outlineLevel="3" x14ac:dyDescent="0.25">
      <c r="A28" t="s">
        <v>1</v>
      </c>
      <c r="B28" s="2">
        <v>40791</v>
      </c>
      <c r="C28" s="2">
        <v>40791</v>
      </c>
      <c r="D28" s="2">
        <v>40836</v>
      </c>
      <c r="E28" s="2"/>
      <c r="F28" t="s">
        <v>2</v>
      </c>
      <c r="G28" s="3">
        <v>45</v>
      </c>
      <c r="H28" s="4">
        <v>46527.6</v>
      </c>
      <c r="I28" t="s">
        <v>3</v>
      </c>
      <c r="J28" s="6">
        <v>1400000075</v>
      </c>
      <c r="K28" t="s">
        <v>0</v>
      </c>
      <c r="L28" s="3">
        <v>3249</v>
      </c>
      <c r="M28" s="3">
        <v>3218</v>
      </c>
      <c r="N28" t="s">
        <v>4</v>
      </c>
      <c r="O28" s="6">
        <v>1032</v>
      </c>
      <c r="P28" s="12">
        <f t="shared" si="0"/>
        <v>72</v>
      </c>
      <c r="Q28" t="str">
        <f t="shared" si="1"/>
        <v>②만기경과 후 3개월 이하</v>
      </c>
    </row>
    <row r="29" spans="1:17" ht="13.95" customHeight="1" outlineLevel="3" x14ac:dyDescent="0.25">
      <c r="A29" t="s">
        <v>1</v>
      </c>
      <c r="B29" s="2">
        <v>40791</v>
      </c>
      <c r="C29" s="2">
        <v>40791</v>
      </c>
      <c r="D29" s="2">
        <v>40836</v>
      </c>
      <c r="E29" s="2"/>
      <c r="F29" t="s">
        <v>2</v>
      </c>
      <c r="G29" s="3">
        <v>45</v>
      </c>
      <c r="H29" s="4">
        <v>18222.599999999999</v>
      </c>
      <c r="I29" t="s">
        <v>3</v>
      </c>
      <c r="J29" s="6">
        <v>1400000074</v>
      </c>
      <c r="K29" t="s">
        <v>0</v>
      </c>
      <c r="L29" s="3">
        <v>3249</v>
      </c>
      <c r="M29" s="3">
        <v>3218</v>
      </c>
      <c r="N29" t="s">
        <v>4</v>
      </c>
      <c r="O29" s="6">
        <v>1032</v>
      </c>
      <c r="P29" s="12">
        <f t="shared" si="0"/>
        <v>72</v>
      </c>
      <c r="Q29" t="str">
        <f t="shared" si="1"/>
        <v>②만기경과 후 3개월 이하</v>
      </c>
    </row>
    <row r="30" spans="1:17" ht="13.95" customHeight="1" outlineLevel="3" x14ac:dyDescent="0.25">
      <c r="A30" t="s">
        <v>1</v>
      </c>
      <c r="B30" s="2">
        <v>40777</v>
      </c>
      <c r="C30" s="2">
        <v>40777</v>
      </c>
      <c r="D30" s="2">
        <v>40822</v>
      </c>
      <c r="E30" s="2"/>
      <c r="F30" t="s">
        <v>2</v>
      </c>
      <c r="G30" s="3">
        <v>45</v>
      </c>
      <c r="H30" s="4">
        <v>37569.4</v>
      </c>
      <c r="I30" t="s">
        <v>3</v>
      </c>
      <c r="J30" s="6">
        <v>1400000067</v>
      </c>
      <c r="K30" t="s">
        <v>0</v>
      </c>
      <c r="L30" s="3">
        <v>3263</v>
      </c>
      <c r="M30" s="3">
        <v>3232</v>
      </c>
      <c r="N30" t="s">
        <v>4</v>
      </c>
      <c r="O30" s="6">
        <v>1032</v>
      </c>
      <c r="P30" s="12">
        <f t="shared" si="0"/>
        <v>86</v>
      </c>
      <c r="Q30" t="str">
        <f t="shared" si="1"/>
        <v>②만기경과 후 3개월 이하</v>
      </c>
    </row>
    <row r="31" spans="1:17" ht="13.95" customHeight="1" outlineLevel="3" x14ac:dyDescent="0.25">
      <c r="A31" t="s">
        <v>1</v>
      </c>
      <c r="B31" s="2">
        <v>40777</v>
      </c>
      <c r="C31" s="2">
        <v>40777</v>
      </c>
      <c r="D31" s="2">
        <v>40822</v>
      </c>
      <c r="E31" s="2"/>
      <c r="F31" t="s">
        <v>2</v>
      </c>
      <c r="G31" s="3">
        <v>45</v>
      </c>
      <c r="H31" s="4">
        <v>49851</v>
      </c>
      <c r="I31" t="s">
        <v>3</v>
      </c>
      <c r="J31" s="6">
        <v>1400000066</v>
      </c>
      <c r="K31" t="s">
        <v>0</v>
      </c>
      <c r="L31" s="3">
        <v>3263</v>
      </c>
      <c r="M31" s="3">
        <v>3232</v>
      </c>
      <c r="N31" t="s">
        <v>4</v>
      </c>
      <c r="O31" s="6">
        <v>1032</v>
      </c>
      <c r="P31" s="12">
        <f t="shared" si="0"/>
        <v>86</v>
      </c>
      <c r="Q31" t="str">
        <f t="shared" si="1"/>
        <v>②만기경과 후 3개월 이하</v>
      </c>
    </row>
    <row r="32" spans="1:17" ht="13.95" customHeight="1" outlineLevel="3" x14ac:dyDescent="0.25">
      <c r="A32" t="s">
        <v>1</v>
      </c>
      <c r="B32" s="2">
        <v>40777</v>
      </c>
      <c r="C32" s="2">
        <v>40777</v>
      </c>
      <c r="D32" s="2">
        <v>40822</v>
      </c>
      <c r="E32" s="2"/>
      <c r="F32" t="s">
        <v>2</v>
      </c>
      <c r="G32" s="3">
        <v>45</v>
      </c>
      <c r="H32" s="4">
        <v>15185.5</v>
      </c>
      <c r="I32" t="s">
        <v>3</v>
      </c>
      <c r="J32" s="6">
        <v>1400000065</v>
      </c>
      <c r="K32" t="s">
        <v>0</v>
      </c>
      <c r="L32" s="3">
        <v>3263</v>
      </c>
      <c r="M32" s="3">
        <v>3232</v>
      </c>
      <c r="N32" t="s">
        <v>4</v>
      </c>
      <c r="O32" s="6">
        <v>1032</v>
      </c>
      <c r="P32" s="12">
        <f t="shared" si="0"/>
        <v>86</v>
      </c>
      <c r="Q32" t="str">
        <f t="shared" si="1"/>
        <v>②만기경과 후 3개월 이하</v>
      </c>
    </row>
    <row r="33" spans="1:17" ht="13.95" customHeight="1" outlineLevel="3" x14ac:dyDescent="0.25">
      <c r="A33" t="s">
        <v>1</v>
      </c>
      <c r="B33" s="2">
        <v>40729</v>
      </c>
      <c r="C33" s="2">
        <v>40729</v>
      </c>
      <c r="D33" s="2">
        <v>40774</v>
      </c>
      <c r="E33" s="2"/>
      <c r="F33" t="s">
        <v>2</v>
      </c>
      <c r="G33" s="3">
        <v>45</v>
      </c>
      <c r="H33" s="4">
        <v>23907.8</v>
      </c>
      <c r="I33" t="s">
        <v>3</v>
      </c>
      <c r="J33" s="6">
        <v>1400000058</v>
      </c>
      <c r="K33" t="s">
        <v>0</v>
      </c>
      <c r="L33" s="3">
        <v>3311</v>
      </c>
      <c r="M33" s="3">
        <v>3280</v>
      </c>
      <c r="N33" t="s">
        <v>4</v>
      </c>
      <c r="O33" s="6">
        <v>1032</v>
      </c>
      <c r="P33" s="12">
        <f t="shared" si="0"/>
        <v>134</v>
      </c>
      <c r="Q33" t="str">
        <f t="shared" si="1"/>
        <v>③만기경과 후 4~6개월</v>
      </c>
    </row>
    <row r="34" spans="1:17" ht="13.95" customHeight="1" outlineLevel="3" x14ac:dyDescent="0.25">
      <c r="A34" t="s">
        <v>1</v>
      </c>
      <c r="B34" s="2">
        <v>40729</v>
      </c>
      <c r="C34" s="2">
        <v>40729</v>
      </c>
      <c r="D34" s="2">
        <v>40774</v>
      </c>
      <c r="E34" s="2"/>
      <c r="F34" t="s">
        <v>2</v>
      </c>
      <c r="G34" s="3">
        <v>45</v>
      </c>
      <c r="H34" s="4">
        <v>49851</v>
      </c>
      <c r="I34" t="s">
        <v>3</v>
      </c>
      <c r="J34" s="6">
        <v>1400000057</v>
      </c>
      <c r="K34" t="s">
        <v>0</v>
      </c>
      <c r="L34" s="3">
        <v>3311</v>
      </c>
      <c r="M34" s="3">
        <v>3280</v>
      </c>
      <c r="N34" t="s">
        <v>4</v>
      </c>
      <c r="O34" s="6">
        <v>1032</v>
      </c>
      <c r="P34" s="12">
        <f t="shared" si="0"/>
        <v>134</v>
      </c>
      <c r="Q34" t="str">
        <f t="shared" si="1"/>
        <v>③만기경과 후 4~6개월</v>
      </c>
    </row>
    <row r="35" spans="1:17" ht="13.95" customHeight="1" outlineLevel="3" x14ac:dyDescent="0.25">
      <c r="A35" t="s">
        <v>1</v>
      </c>
      <c r="B35" s="2">
        <v>40729</v>
      </c>
      <c r="C35" s="2">
        <v>40729</v>
      </c>
      <c r="D35" s="2">
        <v>40774</v>
      </c>
      <c r="E35" s="2"/>
      <c r="F35" t="s">
        <v>2</v>
      </c>
      <c r="G35" s="3">
        <v>45</v>
      </c>
      <c r="H35" s="4">
        <v>18222.599999999999</v>
      </c>
      <c r="I35" t="s">
        <v>3</v>
      </c>
      <c r="J35" s="6">
        <v>1400000056</v>
      </c>
      <c r="K35" t="s">
        <v>0</v>
      </c>
      <c r="L35" s="3">
        <v>3311</v>
      </c>
      <c r="M35" s="3">
        <v>3280</v>
      </c>
      <c r="N35" t="s">
        <v>4</v>
      </c>
      <c r="O35" s="6">
        <v>1032</v>
      </c>
      <c r="P35" s="12">
        <f t="shared" si="0"/>
        <v>134</v>
      </c>
      <c r="Q35" t="str">
        <f t="shared" si="1"/>
        <v>③만기경과 후 4~6개월</v>
      </c>
    </row>
    <row r="36" spans="1:17" ht="13.95" customHeight="1" outlineLevel="3" x14ac:dyDescent="0.25">
      <c r="A36" t="s">
        <v>1</v>
      </c>
      <c r="B36" s="2">
        <v>40702</v>
      </c>
      <c r="C36" s="2">
        <v>40702</v>
      </c>
      <c r="D36" s="2">
        <v>40747</v>
      </c>
      <c r="E36" s="2"/>
      <c r="F36" t="s">
        <v>2</v>
      </c>
      <c r="G36" s="3">
        <v>45</v>
      </c>
      <c r="H36" s="4">
        <v>17077</v>
      </c>
      <c r="I36" t="s">
        <v>3</v>
      </c>
      <c r="J36" s="6">
        <v>1400000048</v>
      </c>
      <c r="K36" t="s">
        <v>0</v>
      </c>
      <c r="L36" s="3">
        <v>3338</v>
      </c>
      <c r="M36" s="3">
        <v>3307</v>
      </c>
      <c r="N36" t="s">
        <v>4</v>
      </c>
      <c r="O36" s="6">
        <v>1032</v>
      </c>
      <c r="P36" s="12">
        <f t="shared" si="0"/>
        <v>161</v>
      </c>
      <c r="Q36" t="str">
        <f t="shared" si="1"/>
        <v>③만기경과 후 4~6개월</v>
      </c>
    </row>
    <row r="37" spans="1:17" ht="13.95" customHeight="1" outlineLevel="3" x14ac:dyDescent="0.25">
      <c r="A37" t="s">
        <v>1</v>
      </c>
      <c r="B37" s="2">
        <v>40702</v>
      </c>
      <c r="C37" s="2">
        <v>40702</v>
      </c>
      <c r="D37" s="2">
        <v>40747</v>
      </c>
      <c r="E37" s="2"/>
      <c r="F37" t="s">
        <v>2</v>
      </c>
      <c r="G37" s="3">
        <v>45</v>
      </c>
      <c r="H37" s="4">
        <v>53174.400000000001</v>
      </c>
      <c r="I37" t="s">
        <v>3</v>
      </c>
      <c r="J37" s="6">
        <v>1400000047</v>
      </c>
      <c r="K37" t="s">
        <v>0</v>
      </c>
      <c r="L37" s="3">
        <v>3338</v>
      </c>
      <c r="M37" s="3">
        <v>3307</v>
      </c>
      <c r="N37" t="s">
        <v>4</v>
      </c>
      <c r="O37" s="6">
        <v>1032</v>
      </c>
      <c r="P37" s="12">
        <f t="shared" si="0"/>
        <v>161</v>
      </c>
      <c r="Q37" t="str">
        <f t="shared" si="1"/>
        <v>③만기경과 후 4~6개월</v>
      </c>
    </row>
    <row r="38" spans="1:17" ht="13.95" customHeight="1" outlineLevel="3" x14ac:dyDescent="0.25">
      <c r="A38" t="s">
        <v>1</v>
      </c>
      <c r="B38" s="2">
        <v>40702</v>
      </c>
      <c r="C38" s="2">
        <v>40702</v>
      </c>
      <c r="D38" s="2">
        <v>40747</v>
      </c>
      <c r="E38" s="2"/>
      <c r="F38" t="s">
        <v>2</v>
      </c>
      <c r="G38" s="3">
        <v>45</v>
      </c>
      <c r="H38" s="4">
        <v>27333.9</v>
      </c>
      <c r="I38" t="s">
        <v>3</v>
      </c>
      <c r="J38" s="6">
        <v>1400000046</v>
      </c>
      <c r="K38" t="s">
        <v>0</v>
      </c>
      <c r="L38" s="3">
        <v>3338</v>
      </c>
      <c r="M38" s="3">
        <v>3307</v>
      </c>
      <c r="N38" t="s">
        <v>4</v>
      </c>
      <c r="O38" s="6">
        <v>1032</v>
      </c>
      <c r="P38" s="12">
        <f t="shared" si="0"/>
        <v>161</v>
      </c>
      <c r="Q38" t="str">
        <f t="shared" si="1"/>
        <v>③만기경과 후 4~6개월</v>
      </c>
    </row>
    <row r="39" spans="1:17" ht="13.95" customHeight="1" outlineLevel="3" x14ac:dyDescent="0.25">
      <c r="A39" t="s">
        <v>1</v>
      </c>
      <c r="B39" s="2">
        <v>40674</v>
      </c>
      <c r="C39" s="2">
        <v>40674</v>
      </c>
      <c r="D39" s="2">
        <v>40719</v>
      </c>
      <c r="E39" s="2"/>
      <c r="F39" t="s">
        <v>2</v>
      </c>
      <c r="G39" s="3">
        <v>45</v>
      </c>
      <c r="H39" s="4">
        <v>20492.400000000001</v>
      </c>
      <c r="I39" t="s">
        <v>3</v>
      </c>
      <c r="J39" s="6">
        <v>1400000039</v>
      </c>
      <c r="K39" t="s">
        <v>0</v>
      </c>
      <c r="L39" s="3">
        <v>3366</v>
      </c>
      <c r="M39" s="3">
        <v>3335</v>
      </c>
      <c r="N39" t="s">
        <v>4</v>
      </c>
      <c r="O39" s="6">
        <v>1032</v>
      </c>
      <c r="P39" s="12">
        <f t="shared" si="0"/>
        <v>189</v>
      </c>
      <c r="Q39" t="str">
        <f t="shared" si="1"/>
        <v>④만기경과 후 7~12개월</v>
      </c>
    </row>
    <row r="40" spans="1:17" ht="13.95" customHeight="1" outlineLevel="3" x14ac:dyDescent="0.25">
      <c r="A40" t="s">
        <v>1</v>
      </c>
      <c r="B40" s="2">
        <v>40674</v>
      </c>
      <c r="C40" s="2">
        <v>40674</v>
      </c>
      <c r="D40" s="2">
        <v>40719</v>
      </c>
      <c r="E40" s="2"/>
      <c r="F40" t="s">
        <v>2</v>
      </c>
      <c r="G40" s="3">
        <v>45</v>
      </c>
      <c r="H40" s="4">
        <v>43204.2</v>
      </c>
      <c r="I40" t="s">
        <v>3</v>
      </c>
      <c r="J40" s="6">
        <v>1400000038</v>
      </c>
      <c r="K40" t="s">
        <v>0</v>
      </c>
      <c r="L40" s="3">
        <v>3366</v>
      </c>
      <c r="M40" s="3">
        <v>3335</v>
      </c>
      <c r="N40" t="s">
        <v>4</v>
      </c>
      <c r="O40" s="6">
        <v>1032</v>
      </c>
      <c r="P40" s="12">
        <f t="shared" si="0"/>
        <v>189</v>
      </c>
      <c r="Q40" t="str">
        <f t="shared" si="1"/>
        <v>④만기경과 후 7~12개월</v>
      </c>
    </row>
    <row r="41" spans="1:17" ht="13.95" customHeight="1" outlineLevel="3" x14ac:dyDescent="0.25">
      <c r="A41" t="s">
        <v>1</v>
      </c>
      <c r="B41" s="2">
        <v>40674</v>
      </c>
      <c r="C41" s="2">
        <v>40674</v>
      </c>
      <c r="D41" s="2">
        <v>40719</v>
      </c>
      <c r="E41" s="2"/>
      <c r="F41" t="s">
        <v>2</v>
      </c>
      <c r="G41" s="3">
        <v>45</v>
      </c>
      <c r="H41" s="4">
        <v>36445.199999999997</v>
      </c>
      <c r="I41" t="s">
        <v>3</v>
      </c>
      <c r="J41" s="6">
        <v>1400000037</v>
      </c>
      <c r="K41" t="s">
        <v>0</v>
      </c>
      <c r="L41" s="3">
        <v>3366</v>
      </c>
      <c r="M41" s="3">
        <v>3335</v>
      </c>
      <c r="N41" t="s">
        <v>4</v>
      </c>
      <c r="O41" s="6">
        <v>1032</v>
      </c>
      <c r="P41" s="12">
        <f t="shared" si="0"/>
        <v>189</v>
      </c>
      <c r="Q41" t="str">
        <f t="shared" si="1"/>
        <v>④만기경과 후 7~12개월</v>
      </c>
    </row>
    <row r="42" spans="1:17" ht="13.95" customHeight="1" outlineLevel="3" x14ac:dyDescent="0.25">
      <c r="A42" t="s">
        <v>1</v>
      </c>
      <c r="B42" s="2">
        <v>40637</v>
      </c>
      <c r="C42" s="2">
        <v>40637</v>
      </c>
      <c r="D42" s="2">
        <v>40682</v>
      </c>
      <c r="E42" s="2"/>
      <c r="F42" t="s">
        <v>2</v>
      </c>
      <c r="G42" s="3">
        <v>45</v>
      </c>
      <c r="H42" s="4">
        <v>23907.8</v>
      </c>
      <c r="I42" t="s">
        <v>3</v>
      </c>
      <c r="J42" s="6">
        <v>1400000029</v>
      </c>
      <c r="K42" t="s">
        <v>0</v>
      </c>
      <c r="L42" s="3">
        <v>3403</v>
      </c>
      <c r="M42" s="3">
        <v>3372</v>
      </c>
      <c r="N42" t="s">
        <v>4</v>
      </c>
      <c r="O42" s="6">
        <v>1032</v>
      </c>
      <c r="P42" s="12">
        <f t="shared" si="0"/>
        <v>226</v>
      </c>
      <c r="Q42" t="str">
        <f t="shared" si="1"/>
        <v>④만기경과 후 7~12개월</v>
      </c>
    </row>
    <row r="43" spans="1:17" ht="13.95" customHeight="1" outlineLevel="3" x14ac:dyDescent="0.25">
      <c r="A43" t="s">
        <v>1</v>
      </c>
      <c r="B43" s="2">
        <v>40637</v>
      </c>
      <c r="C43" s="2">
        <v>40637</v>
      </c>
      <c r="D43" s="2">
        <v>40682</v>
      </c>
      <c r="E43" s="2"/>
      <c r="F43" t="s">
        <v>2</v>
      </c>
      <c r="G43" s="3">
        <v>45</v>
      </c>
      <c r="H43" s="4">
        <v>36557.4</v>
      </c>
      <c r="I43" t="s">
        <v>3</v>
      </c>
      <c r="J43" s="6">
        <v>1400000028</v>
      </c>
      <c r="K43" t="s">
        <v>0</v>
      </c>
      <c r="L43" s="3">
        <v>3403</v>
      </c>
      <c r="M43" s="3">
        <v>3372</v>
      </c>
      <c r="N43" t="s">
        <v>4</v>
      </c>
      <c r="O43" s="6">
        <v>1032</v>
      </c>
      <c r="P43" s="12">
        <f t="shared" si="0"/>
        <v>226</v>
      </c>
      <c r="Q43" t="str">
        <f t="shared" si="1"/>
        <v>④만기경과 후 7~12개월</v>
      </c>
    </row>
    <row r="44" spans="1:17" ht="13.95" customHeight="1" outlineLevel="3" x14ac:dyDescent="0.25">
      <c r="A44" t="s">
        <v>1</v>
      </c>
      <c r="B44" s="2">
        <v>40637</v>
      </c>
      <c r="C44" s="2">
        <v>40637</v>
      </c>
      <c r="D44" s="2">
        <v>40682</v>
      </c>
      <c r="E44" s="2"/>
      <c r="F44" t="s">
        <v>2</v>
      </c>
      <c r="G44" s="3">
        <v>45</v>
      </c>
      <c r="H44" s="4">
        <v>36445.199999999997</v>
      </c>
      <c r="I44" t="s">
        <v>3</v>
      </c>
      <c r="J44" s="6">
        <v>1400000027</v>
      </c>
      <c r="K44" t="s">
        <v>0</v>
      </c>
      <c r="L44" s="3">
        <v>3403</v>
      </c>
      <c r="M44" s="3">
        <v>3372</v>
      </c>
      <c r="N44" t="s">
        <v>4</v>
      </c>
      <c r="O44" s="6">
        <v>1032</v>
      </c>
      <c r="P44" s="12">
        <f t="shared" si="0"/>
        <v>226</v>
      </c>
      <c r="Q44" t="str">
        <f t="shared" si="1"/>
        <v>④만기경과 후 7~12개월</v>
      </c>
    </row>
    <row r="45" spans="1:17" ht="13.95" customHeight="1" outlineLevel="3" x14ac:dyDescent="0.25">
      <c r="A45" t="s">
        <v>1</v>
      </c>
      <c r="B45" s="2">
        <v>40610</v>
      </c>
      <c r="C45" s="2">
        <v>40610</v>
      </c>
      <c r="D45" s="2">
        <v>40655</v>
      </c>
      <c r="E45" s="2"/>
      <c r="F45" t="s">
        <v>2</v>
      </c>
      <c r="G45" s="3">
        <v>45</v>
      </c>
      <c r="H45" s="4">
        <v>30738.6</v>
      </c>
      <c r="I45" t="s">
        <v>3</v>
      </c>
      <c r="J45" s="6">
        <v>1400000020</v>
      </c>
      <c r="K45" t="s">
        <v>0</v>
      </c>
      <c r="L45" s="3">
        <v>3430</v>
      </c>
      <c r="M45" s="3">
        <v>3399</v>
      </c>
      <c r="N45" t="s">
        <v>4</v>
      </c>
      <c r="O45" s="6">
        <v>1032</v>
      </c>
      <c r="P45" s="12">
        <f t="shared" si="0"/>
        <v>253</v>
      </c>
      <c r="Q45" t="str">
        <f t="shared" si="1"/>
        <v>④만기경과 후 7~12개월</v>
      </c>
    </row>
    <row r="46" spans="1:17" ht="13.95" customHeight="1" outlineLevel="3" x14ac:dyDescent="0.25">
      <c r="A46" t="s">
        <v>1</v>
      </c>
      <c r="B46" s="2">
        <v>40610</v>
      </c>
      <c r="C46" s="2">
        <v>40610</v>
      </c>
      <c r="D46" s="2">
        <v>40655</v>
      </c>
      <c r="E46" s="2"/>
      <c r="F46" t="s">
        <v>2</v>
      </c>
      <c r="G46" s="3">
        <v>45</v>
      </c>
      <c r="H46" s="4">
        <v>29910.6</v>
      </c>
      <c r="I46" t="s">
        <v>3</v>
      </c>
      <c r="J46" s="6">
        <v>1400000019</v>
      </c>
      <c r="K46" t="s">
        <v>0</v>
      </c>
      <c r="L46" s="3">
        <v>3430</v>
      </c>
      <c r="M46" s="3">
        <v>3399</v>
      </c>
      <c r="N46" t="s">
        <v>4</v>
      </c>
      <c r="O46" s="6">
        <v>1032</v>
      </c>
      <c r="P46" s="12">
        <f t="shared" si="0"/>
        <v>253</v>
      </c>
      <c r="Q46" t="str">
        <f t="shared" si="1"/>
        <v>④만기경과 후 7~12개월</v>
      </c>
    </row>
    <row r="47" spans="1:17" ht="13.95" customHeight="1" outlineLevel="3" x14ac:dyDescent="0.25">
      <c r="A47" t="s">
        <v>1</v>
      </c>
      <c r="B47" s="2">
        <v>40610</v>
      </c>
      <c r="C47" s="2">
        <v>40610</v>
      </c>
      <c r="D47" s="2">
        <v>40655</v>
      </c>
      <c r="E47" s="2"/>
      <c r="F47" t="s">
        <v>2</v>
      </c>
      <c r="G47" s="3">
        <v>45</v>
      </c>
      <c r="H47" s="4">
        <v>45556.5</v>
      </c>
      <c r="I47" t="s">
        <v>3</v>
      </c>
      <c r="J47" s="6">
        <v>1400000018</v>
      </c>
      <c r="K47" t="s">
        <v>0</v>
      </c>
      <c r="L47" s="3">
        <v>3430</v>
      </c>
      <c r="M47" s="3">
        <v>3399</v>
      </c>
      <c r="N47" t="s">
        <v>4</v>
      </c>
      <c r="O47" s="6">
        <v>1032</v>
      </c>
      <c r="P47" s="12">
        <f t="shared" si="0"/>
        <v>253</v>
      </c>
      <c r="Q47" t="str">
        <f t="shared" si="1"/>
        <v>④만기경과 후 7~12개월</v>
      </c>
    </row>
    <row r="48" spans="1:17" ht="13.95" customHeight="1" outlineLevel="3" x14ac:dyDescent="0.25">
      <c r="A48" t="s">
        <v>1</v>
      </c>
      <c r="B48" s="2">
        <v>41448</v>
      </c>
      <c r="C48" s="2">
        <v>41448</v>
      </c>
      <c r="D48" s="2">
        <v>41493</v>
      </c>
      <c r="E48" s="2"/>
      <c r="F48" t="s">
        <v>2</v>
      </c>
      <c r="G48" s="3">
        <v>45</v>
      </c>
      <c r="H48" s="4">
        <v>17077</v>
      </c>
      <c r="I48" t="s">
        <v>3</v>
      </c>
      <c r="J48" s="6">
        <v>1400000047</v>
      </c>
      <c r="K48" t="s">
        <v>0</v>
      </c>
      <c r="L48" s="3">
        <v>2592</v>
      </c>
      <c r="M48" s="3">
        <v>2561</v>
      </c>
      <c r="N48" t="s">
        <v>4</v>
      </c>
      <c r="O48" s="6">
        <v>1032</v>
      </c>
      <c r="P48" s="12">
        <f t="shared" si="0"/>
        <v>-585</v>
      </c>
      <c r="Q48" t="str">
        <f t="shared" si="1"/>
        <v>①연체되지 않은 채권</v>
      </c>
    </row>
    <row r="49" spans="1:17" ht="13.95" customHeight="1" outlineLevel="3" x14ac:dyDescent="0.25">
      <c r="A49" t="s">
        <v>1</v>
      </c>
      <c r="B49" s="2">
        <v>41448</v>
      </c>
      <c r="C49" s="2">
        <v>41448</v>
      </c>
      <c r="D49" s="2">
        <v>41493</v>
      </c>
      <c r="E49" s="2"/>
      <c r="F49" t="s">
        <v>2</v>
      </c>
      <c r="G49" s="3">
        <v>45</v>
      </c>
      <c r="H49" s="4">
        <v>53174.400000000001</v>
      </c>
      <c r="I49" t="s">
        <v>3</v>
      </c>
      <c r="J49" s="6">
        <v>1400000046</v>
      </c>
      <c r="K49" t="s">
        <v>0</v>
      </c>
      <c r="L49" s="3">
        <v>2592</v>
      </c>
      <c r="M49" s="3">
        <v>2561</v>
      </c>
      <c r="N49" t="s">
        <v>4</v>
      </c>
      <c r="O49" s="6">
        <v>1032</v>
      </c>
      <c r="P49" s="12">
        <f t="shared" si="0"/>
        <v>-585</v>
      </c>
      <c r="Q49" t="str">
        <f t="shared" si="1"/>
        <v>①연체되지 않은 채권</v>
      </c>
    </row>
    <row r="50" spans="1:17" ht="13.95" customHeight="1" outlineLevel="3" x14ac:dyDescent="0.25">
      <c r="A50" t="s">
        <v>1</v>
      </c>
      <c r="B50" s="2">
        <v>41448</v>
      </c>
      <c r="C50" s="2">
        <v>41448</v>
      </c>
      <c r="D50" s="2">
        <v>41493</v>
      </c>
      <c r="E50" s="2"/>
      <c r="F50" t="s">
        <v>2</v>
      </c>
      <c r="G50" s="3">
        <v>45</v>
      </c>
      <c r="H50" s="4">
        <v>27333.9</v>
      </c>
      <c r="I50" t="s">
        <v>3</v>
      </c>
      <c r="J50" s="6">
        <v>1400000045</v>
      </c>
      <c r="K50" t="s">
        <v>0</v>
      </c>
      <c r="L50" s="3">
        <v>2592</v>
      </c>
      <c r="M50" s="3">
        <v>2561</v>
      </c>
      <c r="N50" t="s">
        <v>4</v>
      </c>
      <c r="O50" s="6">
        <v>1032</v>
      </c>
      <c r="P50" s="12">
        <f t="shared" si="0"/>
        <v>-585</v>
      </c>
      <c r="Q50" t="str">
        <f t="shared" si="1"/>
        <v>①연체되지 않은 채권</v>
      </c>
    </row>
    <row r="51" spans="1:17" ht="13.95" customHeight="1" outlineLevel="3" x14ac:dyDescent="0.25">
      <c r="A51" t="s">
        <v>1</v>
      </c>
      <c r="B51" s="2">
        <v>41395</v>
      </c>
      <c r="C51" s="2">
        <v>41395</v>
      </c>
      <c r="D51" s="2">
        <v>41440</v>
      </c>
      <c r="E51" s="2"/>
      <c r="F51" t="s">
        <v>2</v>
      </c>
      <c r="G51" s="3">
        <v>45</v>
      </c>
      <c r="H51" s="4">
        <v>20492.400000000001</v>
      </c>
      <c r="I51" t="s">
        <v>3</v>
      </c>
      <c r="J51" s="6">
        <v>1400000038</v>
      </c>
      <c r="K51" t="s">
        <v>0</v>
      </c>
      <c r="L51" s="3">
        <v>2645</v>
      </c>
      <c r="M51" s="3">
        <v>2614</v>
      </c>
      <c r="N51" t="s">
        <v>4</v>
      </c>
      <c r="O51" s="6">
        <v>1032</v>
      </c>
      <c r="P51" s="12">
        <f t="shared" si="0"/>
        <v>-532</v>
      </c>
      <c r="Q51" t="str">
        <f t="shared" si="1"/>
        <v>①연체되지 않은 채권</v>
      </c>
    </row>
    <row r="52" spans="1:17" ht="13.95" customHeight="1" outlineLevel="3" x14ac:dyDescent="0.25">
      <c r="A52" t="s">
        <v>1</v>
      </c>
      <c r="B52" s="2">
        <v>41395</v>
      </c>
      <c r="C52" s="2">
        <v>41395</v>
      </c>
      <c r="D52" s="2">
        <v>41440</v>
      </c>
      <c r="E52" s="2"/>
      <c r="F52" t="s">
        <v>2</v>
      </c>
      <c r="G52" s="3">
        <v>45</v>
      </c>
      <c r="H52" s="4">
        <v>43204.2</v>
      </c>
      <c r="I52" t="s">
        <v>3</v>
      </c>
      <c r="J52" s="6">
        <v>1400000037</v>
      </c>
      <c r="K52" t="s">
        <v>0</v>
      </c>
      <c r="L52" s="3">
        <v>2645</v>
      </c>
      <c r="M52" s="3">
        <v>2614</v>
      </c>
      <c r="N52" t="s">
        <v>4</v>
      </c>
      <c r="O52" s="6">
        <v>1032</v>
      </c>
      <c r="P52" s="12">
        <f t="shared" si="0"/>
        <v>-532</v>
      </c>
      <c r="Q52" t="str">
        <f t="shared" si="1"/>
        <v>①연체되지 않은 채권</v>
      </c>
    </row>
    <row r="53" spans="1:17" ht="13.95" customHeight="1" outlineLevel="3" x14ac:dyDescent="0.25">
      <c r="A53" t="s">
        <v>1</v>
      </c>
      <c r="B53" s="2">
        <v>41395</v>
      </c>
      <c r="C53" s="2">
        <v>41395</v>
      </c>
      <c r="D53" s="2">
        <v>41440</v>
      </c>
      <c r="E53" s="2"/>
      <c r="F53" t="s">
        <v>2</v>
      </c>
      <c r="G53" s="3">
        <v>45</v>
      </c>
      <c r="H53" s="4">
        <v>36445.199999999997</v>
      </c>
      <c r="I53" t="s">
        <v>3</v>
      </c>
      <c r="J53" s="6">
        <v>1400000036</v>
      </c>
      <c r="K53" t="s">
        <v>0</v>
      </c>
      <c r="L53" s="3">
        <v>2645</v>
      </c>
      <c r="M53" s="3">
        <v>2614</v>
      </c>
      <c r="N53" t="s">
        <v>4</v>
      </c>
      <c r="O53" s="6">
        <v>1032</v>
      </c>
      <c r="P53" s="12">
        <f t="shared" si="0"/>
        <v>-532</v>
      </c>
      <c r="Q53" t="str">
        <f t="shared" si="1"/>
        <v>①연체되지 않은 채권</v>
      </c>
    </row>
    <row r="54" spans="1:17" ht="13.95" customHeight="1" outlineLevel="3" x14ac:dyDescent="0.25">
      <c r="A54" t="s">
        <v>1</v>
      </c>
      <c r="B54" s="2">
        <v>41378</v>
      </c>
      <c r="C54" s="2">
        <v>41378</v>
      </c>
      <c r="D54" s="2">
        <v>41423</v>
      </c>
      <c r="E54" s="2"/>
      <c r="F54" t="s">
        <v>2</v>
      </c>
      <c r="G54" s="3">
        <v>45</v>
      </c>
      <c r="H54" s="4">
        <v>23907.8</v>
      </c>
      <c r="I54" t="s">
        <v>3</v>
      </c>
      <c r="J54" s="6">
        <v>1400000029</v>
      </c>
      <c r="K54" t="s">
        <v>0</v>
      </c>
      <c r="L54" s="3">
        <v>2662</v>
      </c>
      <c r="M54" s="3">
        <v>2631</v>
      </c>
      <c r="N54" t="s">
        <v>4</v>
      </c>
      <c r="O54" s="6">
        <v>1032</v>
      </c>
      <c r="P54" s="12">
        <f t="shared" si="0"/>
        <v>-515</v>
      </c>
      <c r="Q54" t="str">
        <f t="shared" si="1"/>
        <v>①연체되지 않은 채권</v>
      </c>
    </row>
    <row r="55" spans="1:17" ht="13.95" customHeight="1" outlineLevel="3" x14ac:dyDescent="0.25">
      <c r="A55" t="s">
        <v>1</v>
      </c>
      <c r="B55" s="2">
        <v>41378</v>
      </c>
      <c r="C55" s="2">
        <v>41378</v>
      </c>
      <c r="D55" s="2">
        <v>41423</v>
      </c>
      <c r="E55" s="2"/>
      <c r="F55" t="s">
        <v>2</v>
      </c>
      <c r="G55" s="3">
        <v>45</v>
      </c>
      <c r="H55" s="4">
        <v>36557.4</v>
      </c>
      <c r="I55" t="s">
        <v>3</v>
      </c>
      <c r="J55" s="6">
        <v>1400000028</v>
      </c>
      <c r="K55" t="s">
        <v>0</v>
      </c>
      <c r="L55" s="3">
        <v>2662</v>
      </c>
      <c r="M55" s="3">
        <v>2631</v>
      </c>
      <c r="N55" t="s">
        <v>4</v>
      </c>
      <c r="O55" s="6">
        <v>1032</v>
      </c>
      <c r="P55" s="12">
        <f t="shared" si="0"/>
        <v>-515</v>
      </c>
      <c r="Q55" t="str">
        <f t="shared" si="1"/>
        <v>①연체되지 않은 채권</v>
      </c>
    </row>
    <row r="56" spans="1:17" ht="13.95" customHeight="1" outlineLevel="3" x14ac:dyDescent="0.25">
      <c r="A56" t="s">
        <v>1</v>
      </c>
      <c r="B56" s="2">
        <v>41378</v>
      </c>
      <c r="C56" s="2">
        <v>41378</v>
      </c>
      <c r="D56" s="2">
        <v>41423</v>
      </c>
      <c r="E56" s="2"/>
      <c r="F56" t="s">
        <v>2</v>
      </c>
      <c r="G56" s="3">
        <v>45</v>
      </c>
      <c r="H56" s="4">
        <v>36445.199999999997</v>
      </c>
      <c r="I56" t="s">
        <v>3</v>
      </c>
      <c r="J56" s="6">
        <v>1400000027</v>
      </c>
      <c r="K56" t="s">
        <v>0</v>
      </c>
      <c r="L56" s="3">
        <v>2662</v>
      </c>
      <c r="M56" s="3">
        <v>2631</v>
      </c>
      <c r="N56" t="s">
        <v>4</v>
      </c>
      <c r="O56" s="6">
        <v>1032</v>
      </c>
      <c r="P56" s="12">
        <f t="shared" si="0"/>
        <v>-515</v>
      </c>
      <c r="Q56" t="str">
        <f t="shared" si="1"/>
        <v>①연체되지 않은 채권</v>
      </c>
    </row>
    <row r="57" spans="1:17" ht="13.95" customHeight="1" outlineLevel="3" x14ac:dyDescent="0.25">
      <c r="A57" t="s">
        <v>1</v>
      </c>
      <c r="B57" s="2">
        <v>41358</v>
      </c>
      <c r="C57" s="2">
        <v>41358</v>
      </c>
      <c r="D57" s="2">
        <v>41403</v>
      </c>
      <c r="E57" s="2"/>
      <c r="F57" t="s">
        <v>2</v>
      </c>
      <c r="G57" s="3">
        <v>45</v>
      </c>
      <c r="H57" s="4">
        <v>30738.6</v>
      </c>
      <c r="I57" t="s">
        <v>3</v>
      </c>
      <c r="J57" s="6">
        <v>1400000020</v>
      </c>
      <c r="K57" t="s">
        <v>0</v>
      </c>
      <c r="L57" s="3">
        <v>2682</v>
      </c>
      <c r="M57" s="3">
        <v>2651</v>
      </c>
      <c r="N57" t="s">
        <v>4</v>
      </c>
      <c r="O57" s="6">
        <v>1032</v>
      </c>
      <c r="P57" s="12">
        <f t="shared" si="0"/>
        <v>-495</v>
      </c>
      <c r="Q57" t="str">
        <f t="shared" si="1"/>
        <v>①연체되지 않은 채권</v>
      </c>
    </row>
    <row r="58" spans="1:17" ht="13.95" customHeight="1" outlineLevel="3" x14ac:dyDescent="0.25">
      <c r="A58" t="s">
        <v>1</v>
      </c>
      <c r="B58" s="2">
        <v>41358</v>
      </c>
      <c r="C58" s="2">
        <v>41358</v>
      </c>
      <c r="D58" s="2">
        <v>41403</v>
      </c>
      <c r="E58" s="2"/>
      <c r="F58" t="s">
        <v>2</v>
      </c>
      <c r="G58" s="3">
        <v>45</v>
      </c>
      <c r="H58" s="4">
        <v>29910.6</v>
      </c>
      <c r="I58" t="s">
        <v>3</v>
      </c>
      <c r="J58" s="6">
        <v>1400000019</v>
      </c>
      <c r="K58" t="s">
        <v>0</v>
      </c>
      <c r="L58" s="3">
        <v>2682</v>
      </c>
      <c r="M58" s="3">
        <v>2651</v>
      </c>
      <c r="N58" t="s">
        <v>4</v>
      </c>
      <c r="O58" s="6">
        <v>1032</v>
      </c>
      <c r="P58" s="12">
        <f t="shared" si="0"/>
        <v>-495</v>
      </c>
      <c r="Q58" t="str">
        <f t="shared" si="1"/>
        <v>①연체되지 않은 채권</v>
      </c>
    </row>
    <row r="59" spans="1:17" ht="13.95" customHeight="1" outlineLevel="3" x14ac:dyDescent="0.25">
      <c r="A59" t="s">
        <v>1</v>
      </c>
      <c r="B59" s="2">
        <v>41358</v>
      </c>
      <c r="C59" s="2">
        <v>41358</v>
      </c>
      <c r="D59" s="2">
        <v>41403</v>
      </c>
      <c r="E59" s="2"/>
      <c r="F59" t="s">
        <v>2</v>
      </c>
      <c r="G59" s="3">
        <v>45</v>
      </c>
      <c r="H59" s="4">
        <v>45556.5</v>
      </c>
      <c r="I59" t="s">
        <v>3</v>
      </c>
      <c r="J59" s="6">
        <v>1400000018</v>
      </c>
      <c r="K59" t="s">
        <v>0</v>
      </c>
      <c r="L59" s="3">
        <v>2682</v>
      </c>
      <c r="M59" s="3">
        <v>2651</v>
      </c>
      <c r="N59" t="s">
        <v>4</v>
      </c>
      <c r="O59" s="6">
        <v>1032</v>
      </c>
      <c r="P59" s="12">
        <f t="shared" si="0"/>
        <v>-495</v>
      </c>
      <c r="Q59" t="str">
        <f t="shared" si="1"/>
        <v>①연체되지 않은 채권</v>
      </c>
    </row>
    <row r="60" spans="1:17" ht="13.95" customHeight="1" outlineLevel="3" x14ac:dyDescent="0.25">
      <c r="A60" t="s">
        <v>1</v>
      </c>
      <c r="B60" s="2">
        <v>41318</v>
      </c>
      <c r="C60" s="2">
        <v>41318</v>
      </c>
      <c r="D60" s="2">
        <v>41363</v>
      </c>
      <c r="E60" s="2"/>
      <c r="F60" t="s">
        <v>2</v>
      </c>
      <c r="G60" s="3">
        <v>45</v>
      </c>
      <c r="H60" s="4">
        <v>37569.4</v>
      </c>
      <c r="I60" t="s">
        <v>3</v>
      </c>
      <c r="J60" s="6">
        <v>1400000011</v>
      </c>
      <c r="K60" t="s">
        <v>0</v>
      </c>
      <c r="L60" s="3">
        <v>2722</v>
      </c>
      <c r="M60" s="3">
        <v>2691</v>
      </c>
      <c r="N60" t="s">
        <v>4</v>
      </c>
      <c r="O60" s="6">
        <v>1032</v>
      </c>
      <c r="P60" s="12">
        <f t="shared" si="0"/>
        <v>-455</v>
      </c>
      <c r="Q60" t="str">
        <f t="shared" si="1"/>
        <v>①연체되지 않은 채권</v>
      </c>
    </row>
    <row r="61" spans="1:17" ht="13.95" customHeight="1" outlineLevel="3" x14ac:dyDescent="0.25">
      <c r="A61" t="s">
        <v>1</v>
      </c>
      <c r="B61" s="2">
        <v>41318</v>
      </c>
      <c r="C61" s="2">
        <v>41318</v>
      </c>
      <c r="D61" s="2">
        <v>41363</v>
      </c>
      <c r="E61" s="2"/>
      <c r="F61" t="s">
        <v>2</v>
      </c>
      <c r="G61" s="3">
        <v>45</v>
      </c>
      <c r="H61" s="4">
        <v>29910.6</v>
      </c>
      <c r="I61" t="s">
        <v>3</v>
      </c>
      <c r="J61" s="6">
        <v>1400000010</v>
      </c>
      <c r="K61" t="s">
        <v>0</v>
      </c>
      <c r="L61" s="3">
        <v>2722</v>
      </c>
      <c r="M61" s="3">
        <v>2691</v>
      </c>
      <c r="N61" t="s">
        <v>4</v>
      </c>
      <c r="O61" s="6">
        <v>1032</v>
      </c>
      <c r="P61" s="12">
        <f t="shared" si="0"/>
        <v>-455</v>
      </c>
      <c r="Q61" t="str">
        <f t="shared" si="1"/>
        <v>①연체되지 않은 채권</v>
      </c>
    </row>
    <row r="62" spans="1:17" ht="13.95" customHeight="1" outlineLevel="3" x14ac:dyDescent="0.25">
      <c r="A62" t="s">
        <v>1</v>
      </c>
      <c r="B62" s="2">
        <v>41318</v>
      </c>
      <c r="C62" s="2">
        <v>41318</v>
      </c>
      <c r="D62" s="2">
        <v>41363</v>
      </c>
      <c r="E62" s="2"/>
      <c r="F62" t="s">
        <v>2</v>
      </c>
      <c r="G62" s="3">
        <v>45</v>
      </c>
      <c r="H62" s="4">
        <v>36445.199999999997</v>
      </c>
      <c r="I62" t="s">
        <v>3</v>
      </c>
      <c r="J62" s="6">
        <v>1400000009</v>
      </c>
      <c r="K62" t="s">
        <v>0</v>
      </c>
      <c r="L62" s="3">
        <v>2722</v>
      </c>
      <c r="M62" s="3">
        <v>2691</v>
      </c>
      <c r="N62" t="s">
        <v>4</v>
      </c>
      <c r="O62" s="6">
        <v>1032</v>
      </c>
      <c r="P62" s="12">
        <f t="shared" si="0"/>
        <v>-455</v>
      </c>
      <c r="Q62" t="str">
        <f t="shared" si="1"/>
        <v>①연체되지 않은 채권</v>
      </c>
    </row>
    <row r="63" spans="1:17" ht="13.95" customHeight="1" outlineLevel="3" x14ac:dyDescent="0.25">
      <c r="A63" t="s">
        <v>1</v>
      </c>
      <c r="B63" s="2">
        <v>41300</v>
      </c>
      <c r="C63" s="2">
        <v>41300</v>
      </c>
      <c r="D63" s="2">
        <v>41345</v>
      </c>
      <c r="E63" s="2"/>
      <c r="F63" t="s">
        <v>2</v>
      </c>
      <c r="G63" s="3">
        <v>45</v>
      </c>
      <c r="H63" s="4">
        <v>40984.800000000003</v>
      </c>
      <c r="I63" t="s">
        <v>3</v>
      </c>
      <c r="J63" s="6">
        <v>1400000002</v>
      </c>
      <c r="K63" t="s">
        <v>0</v>
      </c>
      <c r="L63" s="3">
        <v>2740</v>
      </c>
      <c r="M63" s="3">
        <v>2709</v>
      </c>
      <c r="N63" t="s">
        <v>4</v>
      </c>
      <c r="O63" s="6">
        <v>1032</v>
      </c>
      <c r="P63" s="12">
        <f t="shared" si="0"/>
        <v>-437</v>
      </c>
      <c r="Q63" t="str">
        <f t="shared" si="1"/>
        <v>①연체되지 않은 채권</v>
      </c>
    </row>
    <row r="64" spans="1:17" ht="13.95" customHeight="1" outlineLevel="3" x14ac:dyDescent="0.25">
      <c r="A64" t="s">
        <v>1</v>
      </c>
      <c r="B64" s="2">
        <v>41300</v>
      </c>
      <c r="C64" s="2">
        <v>41300</v>
      </c>
      <c r="D64" s="2">
        <v>41345</v>
      </c>
      <c r="E64" s="2"/>
      <c r="F64" t="s">
        <v>2</v>
      </c>
      <c r="G64" s="3">
        <v>45</v>
      </c>
      <c r="H64" s="4">
        <v>23263.8</v>
      </c>
      <c r="I64" t="s">
        <v>3</v>
      </c>
      <c r="J64" s="6">
        <v>1400000001</v>
      </c>
      <c r="K64" t="s">
        <v>0</v>
      </c>
      <c r="L64" s="3">
        <v>2740</v>
      </c>
      <c r="M64" s="3">
        <v>2709</v>
      </c>
      <c r="N64" t="s">
        <v>4</v>
      </c>
      <c r="O64" s="6">
        <v>1032</v>
      </c>
      <c r="P64" s="12">
        <f t="shared" si="0"/>
        <v>-437</v>
      </c>
      <c r="Q64" t="str">
        <f t="shared" si="1"/>
        <v>①연체되지 않은 채권</v>
      </c>
    </row>
    <row r="65" spans="1:17" ht="13.95" customHeight="1" outlineLevel="3" x14ac:dyDescent="0.25">
      <c r="A65" t="s">
        <v>1</v>
      </c>
      <c r="B65" s="2">
        <v>41300</v>
      </c>
      <c r="C65" s="2">
        <v>41300</v>
      </c>
      <c r="D65" s="2">
        <v>41345</v>
      </c>
      <c r="E65" s="2"/>
      <c r="F65" t="s">
        <v>2</v>
      </c>
      <c r="G65" s="3">
        <v>45</v>
      </c>
      <c r="H65" s="4">
        <v>30371</v>
      </c>
      <c r="I65" t="s">
        <v>3</v>
      </c>
      <c r="J65" s="6">
        <v>1400000000</v>
      </c>
      <c r="K65" t="s">
        <v>0</v>
      </c>
      <c r="L65" s="3">
        <v>2740</v>
      </c>
      <c r="M65" s="3">
        <v>2709</v>
      </c>
      <c r="N65" t="s">
        <v>4</v>
      </c>
      <c r="O65" s="6">
        <v>1032</v>
      </c>
      <c r="P65" s="12">
        <f t="shared" si="0"/>
        <v>-437</v>
      </c>
      <c r="Q65" t="str">
        <f t="shared" si="1"/>
        <v>①연체되지 않은 채권</v>
      </c>
    </row>
    <row r="66" spans="1:17" ht="13.95" customHeight="1" outlineLevel="3" x14ac:dyDescent="0.25">
      <c r="A66" t="s">
        <v>1</v>
      </c>
      <c r="B66" s="2">
        <v>41269</v>
      </c>
      <c r="C66" s="2">
        <v>41269</v>
      </c>
      <c r="D66" s="2">
        <v>41314</v>
      </c>
      <c r="E66" s="2"/>
      <c r="F66" t="s">
        <v>2</v>
      </c>
      <c r="G66" s="3">
        <v>45</v>
      </c>
      <c r="H66" s="4">
        <v>44400.2</v>
      </c>
      <c r="I66" t="s">
        <v>3</v>
      </c>
      <c r="J66" s="6">
        <v>1400000116</v>
      </c>
      <c r="K66" t="s">
        <v>0</v>
      </c>
      <c r="L66" s="3">
        <v>2771</v>
      </c>
      <c r="M66" s="3">
        <v>2740</v>
      </c>
      <c r="N66" t="s">
        <v>4</v>
      </c>
      <c r="O66" s="6">
        <v>1032</v>
      </c>
      <c r="P66" s="12">
        <f t="shared" si="0"/>
        <v>-406</v>
      </c>
      <c r="Q66" t="str">
        <f t="shared" si="1"/>
        <v>①연체되지 않은 채권</v>
      </c>
    </row>
    <row r="67" spans="1:17" ht="13.95" customHeight="1" outlineLevel="3" x14ac:dyDescent="0.25">
      <c r="A67" t="s">
        <v>1</v>
      </c>
      <c r="B67" s="2">
        <v>41269</v>
      </c>
      <c r="C67" s="2">
        <v>41269</v>
      </c>
      <c r="D67" s="2">
        <v>41314</v>
      </c>
      <c r="E67" s="2"/>
      <c r="F67" t="s">
        <v>2</v>
      </c>
      <c r="G67" s="3">
        <v>45</v>
      </c>
      <c r="H67" s="4">
        <v>29910.6</v>
      </c>
      <c r="I67" t="s">
        <v>3</v>
      </c>
      <c r="J67" s="6">
        <v>1400000115</v>
      </c>
      <c r="K67" t="s">
        <v>0</v>
      </c>
      <c r="L67" s="3">
        <v>2771</v>
      </c>
      <c r="M67" s="3">
        <v>2740</v>
      </c>
      <c r="N67" t="s">
        <v>4</v>
      </c>
      <c r="O67" s="6">
        <v>1032</v>
      </c>
      <c r="P67" s="12">
        <f t="shared" ref="P67:P130" si="2">$T$1-D67</f>
        <v>-406</v>
      </c>
      <c r="Q67" t="str">
        <f t="shared" ref="Q67:Q130" si="3">IF(P67&lt;=0,"①연체되지 않은 채권",IF(P67&lt;=92,"②만기경과 후 3개월 이하",IF(P67&lt;=184,"③만기경과 후 4~6개월",IF(P67&lt;=365,"④만기경과 후 7~12개월","⑤만기경과 후 12개월 초과"))))</f>
        <v>①연체되지 않은 채권</v>
      </c>
    </row>
    <row r="68" spans="1:17" ht="13.95" customHeight="1" outlineLevel="3" x14ac:dyDescent="0.25">
      <c r="A68" t="s">
        <v>1</v>
      </c>
      <c r="B68" s="2">
        <v>41269</v>
      </c>
      <c r="C68" s="2">
        <v>41269</v>
      </c>
      <c r="D68" s="2">
        <v>41314</v>
      </c>
      <c r="E68" s="2"/>
      <c r="F68" t="s">
        <v>2</v>
      </c>
      <c r="G68" s="3">
        <v>45</v>
      </c>
      <c r="H68" s="4">
        <v>33408.1</v>
      </c>
      <c r="I68" t="s">
        <v>3</v>
      </c>
      <c r="J68" s="6">
        <v>1400000114</v>
      </c>
      <c r="K68" t="s">
        <v>0</v>
      </c>
      <c r="L68" s="3">
        <v>2771</v>
      </c>
      <c r="M68" s="3">
        <v>2740</v>
      </c>
      <c r="N68" t="s">
        <v>4</v>
      </c>
      <c r="O68" s="6">
        <v>1032</v>
      </c>
      <c r="P68" s="12">
        <f t="shared" si="2"/>
        <v>-406</v>
      </c>
      <c r="Q68" t="str">
        <f t="shared" si="3"/>
        <v>①연체되지 않은 채권</v>
      </c>
    </row>
    <row r="69" spans="1:17" ht="13.95" customHeight="1" outlineLevel="3" x14ac:dyDescent="0.25">
      <c r="A69" t="s">
        <v>1</v>
      </c>
      <c r="B69" s="2">
        <v>41226</v>
      </c>
      <c r="C69" s="2">
        <v>41226</v>
      </c>
      <c r="D69" s="2">
        <v>41271</v>
      </c>
      <c r="E69" s="2"/>
      <c r="F69" t="s">
        <v>2</v>
      </c>
      <c r="G69" s="3">
        <v>45</v>
      </c>
      <c r="H69" s="4">
        <v>47815.6</v>
      </c>
      <c r="I69" t="s">
        <v>3</v>
      </c>
      <c r="J69" s="6">
        <v>1400000107</v>
      </c>
      <c r="K69" t="s">
        <v>0</v>
      </c>
      <c r="L69" s="3">
        <v>2814</v>
      </c>
      <c r="M69" s="3">
        <v>2783</v>
      </c>
      <c r="N69" t="s">
        <v>4</v>
      </c>
      <c r="O69" s="6">
        <v>1032</v>
      </c>
      <c r="P69" s="12">
        <f t="shared" si="2"/>
        <v>-363</v>
      </c>
      <c r="Q69" t="str">
        <f t="shared" si="3"/>
        <v>①연체되지 않은 채권</v>
      </c>
    </row>
    <row r="70" spans="1:17" ht="13.95" customHeight="1" outlineLevel="3" x14ac:dyDescent="0.25">
      <c r="A70" t="s">
        <v>1</v>
      </c>
      <c r="B70" s="2">
        <v>41226</v>
      </c>
      <c r="C70" s="2">
        <v>41226</v>
      </c>
      <c r="D70" s="2">
        <v>41271</v>
      </c>
      <c r="E70" s="2"/>
      <c r="F70" t="s">
        <v>2</v>
      </c>
      <c r="G70" s="3">
        <v>45</v>
      </c>
      <c r="H70" s="4">
        <v>33234</v>
      </c>
      <c r="I70" t="s">
        <v>3</v>
      </c>
      <c r="J70" s="6">
        <v>1400000106</v>
      </c>
      <c r="K70" t="s">
        <v>0</v>
      </c>
      <c r="L70" s="3">
        <v>2814</v>
      </c>
      <c r="M70" s="3">
        <v>2783</v>
      </c>
      <c r="N70" t="s">
        <v>4</v>
      </c>
      <c r="O70" s="6">
        <v>1032</v>
      </c>
      <c r="P70" s="12">
        <f t="shared" si="2"/>
        <v>-363</v>
      </c>
      <c r="Q70" t="str">
        <f t="shared" si="3"/>
        <v>①연체되지 않은 채권</v>
      </c>
    </row>
    <row r="71" spans="1:17" ht="13.95" customHeight="1" outlineLevel="3" x14ac:dyDescent="0.25">
      <c r="A71" t="s">
        <v>1</v>
      </c>
      <c r="B71" s="2">
        <v>41226</v>
      </c>
      <c r="C71" s="2">
        <v>41226</v>
      </c>
      <c r="D71" s="2">
        <v>41271</v>
      </c>
      <c r="E71" s="2"/>
      <c r="F71" t="s">
        <v>2</v>
      </c>
      <c r="G71" s="3">
        <v>45</v>
      </c>
      <c r="H71" s="4">
        <v>27333.9</v>
      </c>
      <c r="I71" t="s">
        <v>3</v>
      </c>
      <c r="J71" s="6">
        <v>1400000105</v>
      </c>
      <c r="K71" t="s">
        <v>0</v>
      </c>
      <c r="L71" s="3">
        <v>2814</v>
      </c>
      <c r="M71" s="3">
        <v>2783</v>
      </c>
      <c r="N71" t="s">
        <v>4</v>
      </c>
      <c r="O71" s="6">
        <v>1032</v>
      </c>
      <c r="P71" s="12">
        <f t="shared" si="2"/>
        <v>-363</v>
      </c>
      <c r="Q71" t="str">
        <f t="shared" si="3"/>
        <v>①연체되지 않은 채권</v>
      </c>
    </row>
    <row r="72" spans="1:17" ht="13.95" customHeight="1" outlineLevel="3" x14ac:dyDescent="0.25">
      <c r="A72" t="s">
        <v>1</v>
      </c>
      <c r="B72" s="2">
        <v>41187</v>
      </c>
      <c r="C72" s="2">
        <v>41187</v>
      </c>
      <c r="D72" s="2">
        <v>41232</v>
      </c>
      <c r="E72" s="2"/>
      <c r="F72" t="s">
        <v>2</v>
      </c>
      <c r="G72" s="3">
        <v>45</v>
      </c>
      <c r="H72" s="4">
        <v>51231</v>
      </c>
      <c r="I72" t="s">
        <v>3</v>
      </c>
      <c r="J72" s="6">
        <v>1400000098</v>
      </c>
      <c r="K72" t="s">
        <v>0</v>
      </c>
      <c r="L72" s="3">
        <v>2853</v>
      </c>
      <c r="M72" s="3">
        <v>2822</v>
      </c>
      <c r="N72" t="s">
        <v>4</v>
      </c>
      <c r="O72" s="6">
        <v>1032</v>
      </c>
      <c r="P72" s="12">
        <f t="shared" si="2"/>
        <v>-324</v>
      </c>
      <c r="Q72" t="str">
        <f t="shared" si="3"/>
        <v>①연체되지 않은 채권</v>
      </c>
    </row>
    <row r="73" spans="1:17" ht="13.95" customHeight="1" outlineLevel="3" x14ac:dyDescent="0.25">
      <c r="A73" t="s">
        <v>1</v>
      </c>
      <c r="B73" s="2">
        <v>41187</v>
      </c>
      <c r="C73" s="2">
        <v>41187</v>
      </c>
      <c r="D73" s="2">
        <v>41232</v>
      </c>
      <c r="E73" s="2"/>
      <c r="F73" t="s">
        <v>2</v>
      </c>
      <c r="G73" s="3">
        <v>45</v>
      </c>
      <c r="H73" s="4">
        <v>36557.4</v>
      </c>
      <c r="I73" t="s">
        <v>3</v>
      </c>
      <c r="J73" s="6">
        <v>1400000097</v>
      </c>
      <c r="K73" t="s">
        <v>0</v>
      </c>
      <c r="L73" s="3">
        <v>2853</v>
      </c>
      <c r="M73" s="3">
        <v>2822</v>
      </c>
      <c r="N73" t="s">
        <v>4</v>
      </c>
      <c r="O73" s="6">
        <v>1032</v>
      </c>
      <c r="P73" s="12">
        <f t="shared" si="2"/>
        <v>-324</v>
      </c>
      <c r="Q73" t="str">
        <f t="shared" si="3"/>
        <v>①연체되지 않은 채권</v>
      </c>
    </row>
    <row r="74" spans="1:17" ht="13.95" customHeight="1" outlineLevel="3" x14ac:dyDescent="0.25">
      <c r="A74" t="s">
        <v>1</v>
      </c>
      <c r="B74" s="2">
        <v>41187</v>
      </c>
      <c r="C74" s="2">
        <v>41187</v>
      </c>
      <c r="D74" s="2">
        <v>41232</v>
      </c>
      <c r="E74" s="2"/>
      <c r="F74" t="s">
        <v>2</v>
      </c>
      <c r="G74" s="3">
        <v>45</v>
      </c>
      <c r="H74" s="4">
        <v>21259.7</v>
      </c>
      <c r="I74" t="s">
        <v>3</v>
      </c>
      <c r="J74" s="6">
        <v>1400000096</v>
      </c>
      <c r="K74" t="s">
        <v>0</v>
      </c>
      <c r="L74" s="3">
        <v>2853</v>
      </c>
      <c r="M74" s="3">
        <v>2822</v>
      </c>
      <c r="N74" t="s">
        <v>4</v>
      </c>
      <c r="O74" s="6">
        <v>1032</v>
      </c>
      <c r="P74" s="12">
        <f t="shared" si="2"/>
        <v>-324</v>
      </c>
      <c r="Q74" t="str">
        <f t="shared" si="3"/>
        <v>①연체되지 않은 채권</v>
      </c>
    </row>
    <row r="75" spans="1:17" ht="13.95" customHeight="1" outlineLevel="3" x14ac:dyDescent="0.25">
      <c r="A75" t="s">
        <v>1</v>
      </c>
      <c r="B75" s="2">
        <v>41157</v>
      </c>
      <c r="C75" s="2">
        <v>41157</v>
      </c>
      <c r="D75" s="2">
        <v>41202</v>
      </c>
      <c r="E75" s="2"/>
      <c r="F75" t="s">
        <v>2</v>
      </c>
      <c r="G75" s="3">
        <v>45</v>
      </c>
      <c r="H75" s="4">
        <v>44400.2</v>
      </c>
      <c r="I75" t="s">
        <v>3</v>
      </c>
      <c r="J75" s="6">
        <v>1400000089</v>
      </c>
      <c r="K75" t="s">
        <v>0</v>
      </c>
      <c r="L75" s="3">
        <v>2883</v>
      </c>
      <c r="M75" s="3">
        <v>2852</v>
      </c>
      <c r="N75" t="s">
        <v>4</v>
      </c>
      <c r="O75" s="6">
        <v>1032</v>
      </c>
      <c r="P75" s="12">
        <f t="shared" si="2"/>
        <v>-294</v>
      </c>
      <c r="Q75" t="str">
        <f t="shared" si="3"/>
        <v>①연체되지 않은 채권</v>
      </c>
    </row>
    <row r="76" spans="1:17" ht="13.95" customHeight="1" outlineLevel="3" x14ac:dyDescent="0.25">
      <c r="A76" t="s">
        <v>1</v>
      </c>
      <c r="B76" s="2">
        <v>41157</v>
      </c>
      <c r="C76" s="2">
        <v>41157</v>
      </c>
      <c r="D76" s="2">
        <v>41202</v>
      </c>
      <c r="E76" s="2"/>
      <c r="F76" t="s">
        <v>2</v>
      </c>
      <c r="G76" s="3">
        <v>45</v>
      </c>
      <c r="H76" s="4">
        <v>46527.6</v>
      </c>
      <c r="I76" t="s">
        <v>3</v>
      </c>
      <c r="J76" s="6">
        <v>1400000088</v>
      </c>
      <c r="K76" t="s">
        <v>0</v>
      </c>
      <c r="L76" s="3">
        <v>2883</v>
      </c>
      <c r="M76" s="3">
        <v>2852</v>
      </c>
      <c r="N76" t="s">
        <v>4</v>
      </c>
      <c r="O76" s="6">
        <v>1032</v>
      </c>
      <c r="P76" s="12">
        <f t="shared" si="2"/>
        <v>-294</v>
      </c>
      <c r="Q76" t="str">
        <f t="shared" si="3"/>
        <v>①연체되지 않은 채권</v>
      </c>
    </row>
    <row r="77" spans="1:17" ht="13.95" customHeight="1" outlineLevel="3" x14ac:dyDescent="0.25">
      <c r="A77" t="s">
        <v>1</v>
      </c>
      <c r="B77" s="2">
        <v>41157</v>
      </c>
      <c r="C77" s="2">
        <v>41157</v>
      </c>
      <c r="D77" s="2">
        <v>41202</v>
      </c>
      <c r="E77" s="2"/>
      <c r="F77" t="s">
        <v>2</v>
      </c>
      <c r="G77" s="3">
        <v>45</v>
      </c>
      <c r="H77" s="4">
        <v>18222.599999999999</v>
      </c>
      <c r="I77" t="s">
        <v>3</v>
      </c>
      <c r="J77" s="6">
        <v>1400000087</v>
      </c>
      <c r="K77" t="s">
        <v>0</v>
      </c>
      <c r="L77" s="3">
        <v>2883</v>
      </c>
      <c r="M77" s="3">
        <v>2852</v>
      </c>
      <c r="N77" t="s">
        <v>4</v>
      </c>
      <c r="O77" s="6">
        <v>1032</v>
      </c>
      <c r="P77" s="12">
        <f t="shared" si="2"/>
        <v>-294</v>
      </c>
      <c r="Q77" t="str">
        <f t="shared" si="3"/>
        <v>①연체되지 않은 채권</v>
      </c>
    </row>
    <row r="78" spans="1:17" ht="13.95" customHeight="1" outlineLevel="3" x14ac:dyDescent="0.25">
      <c r="A78" t="s">
        <v>1</v>
      </c>
      <c r="B78" s="2">
        <v>41149</v>
      </c>
      <c r="C78" s="2">
        <v>41149</v>
      </c>
      <c r="D78" s="2">
        <v>41194</v>
      </c>
      <c r="E78" s="2"/>
      <c r="F78" t="s">
        <v>2</v>
      </c>
      <c r="G78" s="3">
        <v>45</v>
      </c>
      <c r="H78" s="4">
        <v>37569.4</v>
      </c>
      <c r="I78" t="s">
        <v>3</v>
      </c>
      <c r="J78" s="6">
        <v>1400000080</v>
      </c>
      <c r="K78" t="s">
        <v>0</v>
      </c>
      <c r="L78" s="3">
        <v>2891</v>
      </c>
      <c r="M78" s="3">
        <v>2860</v>
      </c>
      <c r="N78" t="s">
        <v>4</v>
      </c>
      <c r="O78" s="6">
        <v>1032</v>
      </c>
      <c r="P78" s="12">
        <f t="shared" si="2"/>
        <v>-286</v>
      </c>
      <c r="Q78" t="str">
        <f t="shared" si="3"/>
        <v>①연체되지 않은 채권</v>
      </c>
    </row>
    <row r="79" spans="1:17" ht="13.95" customHeight="1" outlineLevel="3" x14ac:dyDescent="0.25">
      <c r="A79" t="s">
        <v>1</v>
      </c>
      <c r="B79" s="2">
        <v>41149</v>
      </c>
      <c r="C79" s="2">
        <v>41149</v>
      </c>
      <c r="D79" s="2">
        <v>41194</v>
      </c>
      <c r="E79" s="2"/>
      <c r="F79" t="s">
        <v>2</v>
      </c>
      <c r="G79" s="3">
        <v>45</v>
      </c>
      <c r="H79" s="4">
        <v>49851</v>
      </c>
      <c r="I79" t="s">
        <v>3</v>
      </c>
      <c r="J79" s="6">
        <v>1400000079</v>
      </c>
      <c r="K79" t="s">
        <v>0</v>
      </c>
      <c r="L79" s="3">
        <v>2891</v>
      </c>
      <c r="M79" s="3">
        <v>2860</v>
      </c>
      <c r="N79" t="s">
        <v>4</v>
      </c>
      <c r="O79" s="6">
        <v>1032</v>
      </c>
      <c r="P79" s="12">
        <f t="shared" si="2"/>
        <v>-286</v>
      </c>
      <c r="Q79" t="str">
        <f t="shared" si="3"/>
        <v>①연체되지 않은 채권</v>
      </c>
    </row>
    <row r="80" spans="1:17" ht="13.95" customHeight="1" outlineLevel="3" x14ac:dyDescent="0.25">
      <c r="A80" t="s">
        <v>1</v>
      </c>
      <c r="B80" s="2">
        <v>41149</v>
      </c>
      <c r="C80" s="2">
        <v>41149</v>
      </c>
      <c r="D80" s="2">
        <v>41194</v>
      </c>
      <c r="E80" s="2"/>
      <c r="F80" t="s">
        <v>2</v>
      </c>
      <c r="G80" s="3">
        <v>45</v>
      </c>
      <c r="H80" s="4">
        <v>15185.5</v>
      </c>
      <c r="I80" t="s">
        <v>3</v>
      </c>
      <c r="J80" s="6">
        <v>1400000078</v>
      </c>
      <c r="K80" t="s">
        <v>0</v>
      </c>
      <c r="L80" s="3">
        <v>2891</v>
      </c>
      <c r="M80" s="3">
        <v>2860</v>
      </c>
      <c r="N80" t="s">
        <v>4</v>
      </c>
      <c r="O80" s="6">
        <v>1032</v>
      </c>
      <c r="P80" s="12">
        <f t="shared" si="2"/>
        <v>-286</v>
      </c>
      <c r="Q80" t="str">
        <f t="shared" si="3"/>
        <v>①연체되지 않은 채권</v>
      </c>
    </row>
    <row r="81" spans="1:17" ht="13.95" customHeight="1" outlineLevel="3" x14ac:dyDescent="0.25">
      <c r="A81" t="s">
        <v>1</v>
      </c>
      <c r="B81" s="2">
        <v>41095</v>
      </c>
      <c r="C81" s="2">
        <v>41095</v>
      </c>
      <c r="D81" s="2">
        <v>41140</v>
      </c>
      <c r="E81" s="2"/>
      <c r="F81" t="s">
        <v>2</v>
      </c>
      <c r="G81" s="3">
        <v>45</v>
      </c>
      <c r="H81" s="4">
        <v>23907.8</v>
      </c>
      <c r="I81" t="s">
        <v>3</v>
      </c>
      <c r="J81" s="6">
        <v>1400000056</v>
      </c>
      <c r="K81" t="s">
        <v>0</v>
      </c>
      <c r="L81" s="3">
        <v>2945</v>
      </c>
      <c r="M81" s="3">
        <v>2914</v>
      </c>
      <c r="N81" t="s">
        <v>4</v>
      </c>
      <c r="O81" s="6">
        <v>1032</v>
      </c>
      <c r="P81" s="12">
        <f t="shared" si="2"/>
        <v>-232</v>
      </c>
      <c r="Q81" t="str">
        <f t="shared" si="3"/>
        <v>①연체되지 않은 채권</v>
      </c>
    </row>
    <row r="82" spans="1:17" ht="13.95" customHeight="1" outlineLevel="3" x14ac:dyDescent="0.25">
      <c r="A82" t="s">
        <v>1</v>
      </c>
      <c r="B82" s="2">
        <v>41095</v>
      </c>
      <c r="C82" s="2">
        <v>41095</v>
      </c>
      <c r="D82" s="2">
        <v>41140</v>
      </c>
      <c r="E82" s="2"/>
      <c r="F82" t="s">
        <v>2</v>
      </c>
      <c r="G82" s="3">
        <v>45</v>
      </c>
      <c r="H82" s="4">
        <v>49851</v>
      </c>
      <c r="I82" t="s">
        <v>3</v>
      </c>
      <c r="J82" s="6">
        <v>1400000055</v>
      </c>
      <c r="K82" t="s">
        <v>0</v>
      </c>
      <c r="L82" s="3">
        <v>2945</v>
      </c>
      <c r="M82" s="3">
        <v>2914</v>
      </c>
      <c r="N82" t="s">
        <v>4</v>
      </c>
      <c r="O82" s="6">
        <v>1032</v>
      </c>
      <c r="P82" s="12">
        <f t="shared" si="2"/>
        <v>-232</v>
      </c>
      <c r="Q82" t="str">
        <f t="shared" si="3"/>
        <v>①연체되지 않은 채권</v>
      </c>
    </row>
    <row r="83" spans="1:17" ht="13.95" customHeight="1" outlineLevel="3" x14ac:dyDescent="0.25">
      <c r="A83" t="s">
        <v>1</v>
      </c>
      <c r="B83" s="2">
        <v>41095</v>
      </c>
      <c r="C83" s="2">
        <v>41095</v>
      </c>
      <c r="D83" s="2">
        <v>41140</v>
      </c>
      <c r="E83" s="2"/>
      <c r="F83" t="s">
        <v>2</v>
      </c>
      <c r="G83" s="3">
        <v>45</v>
      </c>
      <c r="H83" s="4">
        <v>18222.599999999999</v>
      </c>
      <c r="I83" t="s">
        <v>3</v>
      </c>
      <c r="J83" s="6">
        <v>1400000054</v>
      </c>
      <c r="K83" t="s">
        <v>0</v>
      </c>
      <c r="L83" s="3">
        <v>2945</v>
      </c>
      <c r="M83" s="3">
        <v>2914</v>
      </c>
      <c r="N83" t="s">
        <v>4</v>
      </c>
      <c r="O83" s="6">
        <v>1032</v>
      </c>
      <c r="P83" s="12">
        <f t="shared" si="2"/>
        <v>-232</v>
      </c>
      <c r="Q83" t="str">
        <f t="shared" si="3"/>
        <v>①연체되지 않은 채권</v>
      </c>
    </row>
    <row r="84" spans="1:17" ht="13.95" customHeight="1" outlineLevel="3" x14ac:dyDescent="0.25">
      <c r="A84" t="s">
        <v>1</v>
      </c>
      <c r="B84" s="2">
        <v>41072</v>
      </c>
      <c r="C84" s="2">
        <v>41072</v>
      </c>
      <c r="D84" s="2">
        <v>41117</v>
      </c>
      <c r="E84" s="2"/>
      <c r="F84" t="s">
        <v>2</v>
      </c>
      <c r="G84" s="3">
        <v>45</v>
      </c>
      <c r="H84" s="4">
        <v>17077</v>
      </c>
      <c r="I84" t="s">
        <v>3</v>
      </c>
      <c r="J84" s="6">
        <v>1400000047</v>
      </c>
      <c r="K84" t="s">
        <v>0</v>
      </c>
      <c r="L84" s="3">
        <v>2968</v>
      </c>
      <c r="M84" s="3">
        <v>2937</v>
      </c>
      <c r="N84" t="s">
        <v>4</v>
      </c>
      <c r="O84" s="6">
        <v>1032</v>
      </c>
      <c r="P84" s="12">
        <f t="shared" si="2"/>
        <v>-209</v>
      </c>
      <c r="Q84" t="str">
        <f t="shared" si="3"/>
        <v>①연체되지 않은 채권</v>
      </c>
    </row>
    <row r="85" spans="1:17" ht="13.95" customHeight="1" outlineLevel="3" x14ac:dyDescent="0.25">
      <c r="A85" t="s">
        <v>1</v>
      </c>
      <c r="B85" s="2">
        <v>41072</v>
      </c>
      <c r="C85" s="2">
        <v>41072</v>
      </c>
      <c r="D85" s="2">
        <v>41117</v>
      </c>
      <c r="E85" s="2"/>
      <c r="F85" t="s">
        <v>2</v>
      </c>
      <c r="G85" s="3">
        <v>45</v>
      </c>
      <c r="H85" s="4">
        <v>53174.400000000001</v>
      </c>
      <c r="I85" t="s">
        <v>3</v>
      </c>
      <c r="J85" s="6">
        <v>1400000046</v>
      </c>
      <c r="K85" t="s">
        <v>0</v>
      </c>
      <c r="L85" s="3">
        <v>2968</v>
      </c>
      <c r="M85" s="3">
        <v>2937</v>
      </c>
      <c r="N85" t="s">
        <v>4</v>
      </c>
      <c r="O85" s="6">
        <v>1032</v>
      </c>
      <c r="P85" s="12">
        <f t="shared" si="2"/>
        <v>-209</v>
      </c>
      <c r="Q85" t="str">
        <f t="shared" si="3"/>
        <v>①연체되지 않은 채권</v>
      </c>
    </row>
    <row r="86" spans="1:17" ht="13.95" customHeight="1" outlineLevel="3" x14ac:dyDescent="0.25">
      <c r="A86" t="s">
        <v>1</v>
      </c>
      <c r="B86" s="2">
        <v>41072</v>
      </c>
      <c r="C86" s="2">
        <v>41072</v>
      </c>
      <c r="D86" s="2">
        <v>41117</v>
      </c>
      <c r="E86" s="2"/>
      <c r="F86" t="s">
        <v>2</v>
      </c>
      <c r="G86" s="3">
        <v>45</v>
      </c>
      <c r="H86" s="4">
        <v>27333.9</v>
      </c>
      <c r="I86" t="s">
        <v>3</v>
      </c>
      <c r="J86" s="6">
        <v>1400000045</v>
      </c>
      <c r="K86" t="s">
        <v>0</v>
      </c>
      <c r="L86" s="3">
        <v>2968</v>
      </c>
      <c r="M86" s="3">
        <v>2937</v>
      </c>
      <c r="N86" t="s">
        <v>4</v>
      </c>
      <c r="O86" s="6">
        <v>1032</v>
      </c>
      <c r="P86" s="12">
        <f t="shared" si="2"/>
        <v>-209</v>
      </c>
      <c r="Q86" t="str">
        <f t="shared" si="3"/>
        <v>①연체되지 않은 채권</v>
      </c>
    </row>
    <row r="87" spans="1:17" ht="13.95" customHeight="1" outlineLevel="3" x14ac:dyDescent="0.25">
      <c r="A87" t="s">
        <v>1</v>
      </c>
      <c r="B87" s="2">
        <v>41050</v>
      </c>
      <c r="C87" s="2">
        <v>41050</v>
      </c>
      <c r="D87" s="2">
        <v>41095</v>
      </c>
      <c r="E87" s="2"/>
      <c r="F87" t="s">
        <v>2</v>
      </c>
      <c r="G87" s="3">
        <v>45</v>
      </c>
      <c r="H87" s="4">
        <v>20492.400000000001</v>
      </c>
      <c r="I87" t="s">
        <v>3</v>
      </c>
      <c r="J87" s="6">
        <v>1400000038</v>
      </c>
      <c r="K87" t="s">
        <v>0</v>
      </c>
      <c r="L87" s="3">
        <v>2990</v>
      </c>
      <c r="M87" s="3">
        <v>2959</v>
      </c>
      <c r="N87" t="s">
        <v>4</v>
      </c>
      <c r="O87" s="6">
        <v>1032</v>
      </c>
      <c r="P87" s="12">
        <f t="shared" si="2"/>
        <v>-187</v>
      </c>
      <c r="Q87" t="str">
        <f t="shared" si="3"/>
        <v>①연체되지 않은 채권</v>
      </c>
    </row>
    <row r="88" spans="1:17" ht="13.95" customHeight="1" outlineLevel="3" x14ac:dyDescent="0.25">
      <c r="A88" t="s">
        <v>1</v>
      </c>
      <c r="B88" s="2">
        <v>41050</v>
      </c>
      <c r="C88" s="2">
        <v>41050</v>
      </c>
      <c r="D88" s="2">
        <v>41095</v>
      </c>
      <c r="E88" s="2"/>
      <c r="F88" t="s">
        <v>2</v>
      </c>
      <c r="G88" s="3">
        <v>45</v>
      </c>
      <c r="H88" s="4">
        <v>43204.2</v>
      </c>
      <c r="I88" t="s">
        <v>3</v>
      </c>
      <c r="J88" s="6">
        <v>1400000037</v>
      </c>
      <c r="K88" t="s">
        <v>0</v>
      </c>
      <c r="L88" s="3">
        <v>2990</v>
      </c>
      <c r="M88" s="3">
        <v>2959</v>
      </c>
      <c r="N88" t="s">
        <v>4</v>
      </c>
      <c r="O88" s="6">
        <v>1032</v>
      </c>
      <c r="P88" s="12">
        <f t="shared" si="2"/>
        <v>-187</v>
      </c>
      <c r="Q88" t="str">
        <f t="shared" si="3"/>
        <v>①연체되지 않은 채권</v>
      </c>
    </row>
    <row r="89" spans="1:17" ht="13.95" customHeight="1" outlineLevel="3" x14ac:dyDescent="0.25">
      <c r="A89" t="s">
        <v>1</v>
      </c>
      <c r="B89" s="2">
        <v>41050</v>
      </c>
      <c r="C89" s="2">
        <v>41050</v>
      </c>
      <c r="D89" s="2">
        <v>41095</v>
      </c>
      <c r="E89" s="2"/>
      <c r="F89" t="s">
        <v>2</v>
      </c>
      <c r="G89" s="3">
        <v>45</v>
      </c>
      <c r="H89" s="4">
        <v>36445.199999999997</v>
      </c>
      <c r="I89" t="s">
        <v>3</v>
      </c>
      <c r="J89" s="6">
        <v>1400000036</v>
      </c>
      <c r="K89" t="s">
        <v>0</v>
      </c>
      <c r="L89" s="3">
        <v>2990</v>
      </c>
      <c r="M89" s="3">
        <v>2959</v>
      </c>
      <c r="N89" t="s">
        <v>4</v>
      </c>
      <c r="O89" s="6">
        <v>1032</v>
      </c>
      <c r="P89" s="12">
        <f t="shared" si="2"/>
        <v>-187</v>
      </c>
      <c r="Q89" t="str">
        <f t="shared" si="3"/>
        <v>①연체되지 않은 채권</v>
      </c>
    </row>
    <row r="90" spans="1:17" ht="13.95" customHeight="1" outlineLevel="3" x14ac:dyDescent="0.25">
      <c r="A90" t="s">
        <v>1</v>
      </c>
      <c r="B90" s="2">
        <v>40151</v>
      </c>
      <c r="C90" s="2">
        <v>40151</v>
      </c>
      <c r="D90" s="2">
        <v>40196</v>
      </c>
      <c r="E90" s="2"/>
      <c r="F90" t="s">
        <v>2</v>
      </c>
      <c r="G90" s="3">
        <v>45</v>
      </c>
      <c r="H90" s="4">
        <v>44400.2</v>
      </c>
      <c r="I90" t="s">
        <v>3</v>
      </c>
      <c r="J90" s="6">
        <v>1400000181</v>
      </c>
      <c r="K90" t="s">
        <v>0</v>
      </c>
      <c r="L90" s="3">
        <v>3889</v>
      </c>
      <c r="M90" s="3">
        <v>3858</v>
      </c>
      <c r="N90" t="s">
        <v>4</v>
      </c>
      <c r="O90" s="6">
        <v>1032</v>
      </c>
      <c r="P90" s="12">
        <f t="shared" si="2"/>
        <v>712</v>
      </c>
      <c r="Q90" t="str">
        <f t="shared" si="3"/>
        <v>⑤만기경과 후 12개월 초과</v>
      </c>
    </row>
    <row r="91" spans="1:17" ht="13.95" customHeight="1" outlineLevel="3" x14ac:dyDescent="0.25">
      <c r="A91" t="s">
        <v>1</v>
      </c>
      <c r="B91" s="2">
        <v>40151</v>
      </c>
      <c r="C91" s="2">
        <v>40151</v>
      </c>
      <c r="D91" s="2">
        <v>40196</v>
      </c>
      <c r="E91" s="2"/>
      <c r="F91" t="s">
        <v>2</v>
      </c>
      <c r="G91" s="3">
        <v>45</v>
      </c>
      <c r="H91" s="4">
        <v>29910.6</v>
      </c>
      <c r="I91" t="s">
        <v>3</v>
      </c>
      <c r="J91" s="6">
        <v>1400000180</v>
      </c>
      <c r="K91" t="s">
        <v>0</v>
      </c>
      <c r="L91" s="3">
        <v>3889</v>
      </c>
      <c r="M91" s="3">
        <v>3858</v>
      </c>
      <c r="N91" t="s">
        <v>4</v>
      </c>
      <c r="O91" s="6">
        <v>1032</v>
      </c>
      <c r="P91" s="12">
        <f t="shared" si="2"/>
        <v>712</v>
      </c>
      <c r="Q91" t="str">
        <f t="shared" si="3"/>
        <v>⑤만기경과 후 12개월 초과</v>
      </c>
    </row>
    <row r="92" spans="1:17" ht="13.95" customHeight="1" outlineLevel="3" x14ac:dyDescent="0.25">
      <c r="A92" t="s">
        <v>1</v>
      </c>
      <c r="B92" s="2">
        <v>40151</v>
      </c>
      <c r="C92" s="2">
        <v>40151</v>
      </c>
      <c r="D92" s="2">
        <v>40196</v>
      </c>
      <c r="E92" s="2"/>
      <c r="F92" t="s">
        <v>2</v>
      </c>
      <c r="G92" s="3">
        <v>45</v>
      </c>
      <c r="H92" s="4">
        <v>33408.1</v>
      </c>
      <c r="I92" t="s">
        <v>3</v>
      </c>
      <c r="J92" s="6">
        <v>1400000179</v>
      </c>
      <c r="K92" t="s">
        <v>0</v>
      </c>
      <c r="L92" s="3">
        <v>3889</v>
      </c>
      <c r="M92" s="3">
        <v>3858</v>
      </c>
      <c r="N92" t="s">
        <v>4</v>
      </c>
      <c r="O92" s="6">
        <v>1032</v>
      </c>
      <c r="P92" s="12">
        <f t="shared" si="2"/>
        <v>712</v>
      </c>
      <c r="Q92" t="str">
        <f t="shared" si="3"/>
        <v>⑤만기경과 후 12개월 초과</v>
      </c>
    </row>
    <row r="93" spans="1:17" ht="13.95" customHeight="1" outlineLevel="3" x14ac:dyDescent="0.25">
      <c r="A93" t="s">
        <v>1</v>
      </c>
      <c r="B93" s="2">
        <v>40123</v>
      </c>
      <c r="C93" s="2">
        <v>40123</v>
      </c>
      <c r="D93" s="2">
        <v>40168</v>
      </c>
      <c r="E93" s="2"/>
      <c r="F93" t="s">
        <v>2</v>
      </c>
      <c r="G93" s="3">
        <v>45</v>
      </c>
      <c r="H93" s="4">
        <v>47815.6</v>
      </c>
      <c r="I93" t="s">
        <v>3</v>
      </c>
      <c r="J93" s="6">
        <v>1400000172</v>
      </c>
      <c r="K93" t="s">
        <v>0</v>
      </c>
      <c r="L93" s="3">
        <v>3917</v>
      </c>
      <c r="M93" s="3">
        <v>3886</v>
      </c>
      <c r="N93" t="s">
        <v>4</v>
      </c>
      <c r="O93" s="6">
        <v>1032</v>
      </c>
      <c r="P93" s="12">
        <f t="shared" si="2"/>
        <v>740</v>
      </c>
      <c r="Q93" t="str">
        <f t="shared" si="3"/>
        <v>⑤만기경과 후 12개월 초과</v>
      </c>
    </row>
    <row r="94" spans="1:17" ht="13.95" customHeight="1" outlineLevel="3" x14ac:dyDescent="0.25">
      <c r="A94" t="s">
        <v>1</v>
      </c>
      <c r="B94" s="2">
        <v>40123</v>
      </c>
      <c r="C94" s="2">
        <v>40123</v>
      </c>
      <c r="D94" s="2">
        <v>40168</v>
      </c>
      <c r="E94" s="2"/>
      <c r="F94" t="s">
        <v>2</v>
      </c>
      <c r="G94" s="3">
        <v>45</v>
      </c>
      <c r="H94" s="4">
        <v>33234</v>
      </c>
      <c r="I94" t="s">
        <v>3</v>
      </c>
      <c r="J94" s="6">
        <v>1400000171</v>
      </c>
      <c r="K94" t="s">
        <v>0</v>
      </c>
      <c r="L94" s="3">
        <v>3917</v>
      </c>
      <c r="M94" s="3">
        <v>3886</v>
      </c>
      <c r="N94" t="s">
        <v>4</v>
      </c>
      <c r="O94" s="6">
        <v>1032</v>
      </c>
      <c r="P94" s="12">
        <f t="shared" si="2"/>
        <v>740</v>
      </c>
      <c r="Q94" t="str">
        <f t="shared" si="3"/>
        <v>⑤만기경과 후 12개월 초과</v>
      </c>
    </row>
    <row r="95" spans="1:17" ht="13.95" customHeight="1" outlineLevel="3" x14ac:dyDescent="0.25">
      <c r="A95" t="s">
        <v>1</v>
      </c>
      <c r="B95" s="2">
        <v>40123</v>
      </c>
      <c r="C95" s="2">
        <v>40123</v>
      </c>
      <c r="D95" s="2">
        <v>40168</v>
      </c>
      <c r="E95" s="2"/>
      <c r="F95" t="s">
        <v>2</v>
      </c>
      <c r="G95" s="3">
        <v>45</v>
      </c>
      <c r="H95" s="4">
        <v>27333.9</v>
      </c>
      <c r="I95" t="s">
        <v>3</v>
      </c>
      <c r="J95" s="6">
        <v>1400000170</v>
      </c>
      <c r="K95" t="s">
        <v>0</v>
      </c>
      <c r="L95" s="3">
        <v>3917</v>
      </c>
      <c r="M95" s="3">
        <v>3886</v>
      </c>
      <c r="N95" t="s">
        <v>4</v>
      </c>
      <c r="O95" s="6">
        <v>1032</v>
      </c>
      <c r="P95" s="12">
        <f t="shared" si="2"/>
        <v>740</v>
      </c>
      <c r="Q95" t="str">
        <f t="shared" si="3"/>
        <v>⑤만기경과 후 12개월 초과</v>
      </c>
    </row>
    <row r="96" spans="1:17" ht="13.95" customHeight="1" outlineLevel="3" x14ac:dyDescent="0.25">
      <c r="A96" t="s">
        <v>1</v>
      </c>
      <c r="B96" s="2">
        <v>40095</v>
      </c>
      <c r="C96" s="2">
        <v>40095</v>
      </c>
      <c r="D96" s="2">
        <v>40140</v>
      </c>
      <c r="E96" s="2"/>
      <c r="F96" t="s">
        <v>2</v>
      </c>
      <c r="G96" s="3">
        <v>45</v>
      </c>
      <c r="H96" s="4">
        <v>51231</v>
      </c>
      <c r="I96" t="s">
        <v>3</v>
      </c>
      <c r="J96" s="6">
        <v>1400000163</v>
      </c>
      <c r="K96" t="s">
        <v>0</v>
      </c>
      <c r="L96" s="3">
        <v>3945</v>
      </c>
      <c r="M96" s="3">
        <v>3914</v>
      </c>
      <c r="N96" t="s">
        <v>4</v>
      </c>
      <c r="O96" s="6">
        <v>1032</v>
      </c>
      <c r="P96" s="12">
        <f t="shared" si="2"/>
        <v>768</v>
      </c>
      <c r="Q96" t="str">
        <f t="shared" si="3"/>
        <v>⑤만기경과 후 12개월 초과</v>
      </c>
    </row>
    <row r="97" spans="1:17" ht="13.95" customHeight="1" outlineLevel="3" x14ac:dyDescent="0.25">
      <c r="A97" t="s">
        <v>1</v>
      </c>
      <c r="B97" s="2">
        <v>40095</v>
      </c>
      <c r="C97" s="2">
        <v>40095</v>
      </c>
      <c r="D97" s="2">
        <v>40140</v>
      </c>
      <c r="E97" s="2"/>
      <c r="F97" t="s">
        <v>2</v>
      </c>
      <c r="G97" s="3">
        <v>45</v>
      </c>
      <c r="H97" s="4">
        <v>36557.4</v>
      </c>
      <c r="I97" t="s">
        <v>3</v>
      </c>
      <c r="J97" s="6">
        <v>1400000162</v>
      </c>
      <c r="K97" t="s">
        <v>0</v>
      </c>
      <c r="L97" s="3">
        <v>3945</v>
      </c>
      <c r="M97" s="3">
        <v>3914</v>
      </c>
      <c r="N97" t="s">
        <v>4</v>
      </c>
      <c r="O97" s="6">
        <v>1032</v>
      </c>
      <c r="P97" s="12">
        <f t="shared" si="2"/>
        <v>768</v>
      </c>
      <c r="Q97" t="str">
        <f t="shared" si="3"/>
        <v>⑤만기경과 후 12개월 초과</v>
      </c>
    </row>
    <row r="98" spans="1:17" ht="13.95" customHeight="1" outlineLevel="3" x14ac:dyDescent="0.25">
      <c r="A98" t="s">
        <v>1</v>
      </c>
      <c r="B98" s="2">
        <v>40095</v>
      </c>
      <c r="C98" s="2">
        <v>40095</v>
      </c>
      <c r="D98" s="2">
        <v>40140</v>
      </c>
      <c r="E98" s="2"/>
      <c r="F98" t="s">
        <v>2</v>
      </c>
      <c r="G98" s="3">
        <v>45</v>
      </c>
      <c r="H98" s="4">
        <v>21259.7</v>
      </c>
      <c r="I98" t="s">
        <v>3</v>
      </c>
      <c r="J98" s="6">
        <v>1400000161</v>
      </c>
      <c r="K98" t="s">
        <v>0</v>
      </c>
      <c r="L98" s="3">
        <v>3945</v>
      </c>
      <c r="M98" s="3">
        <v>3914</v>
      </c>
      <c r="N98" t="s">
        <v>4</v>
      </c>
      <c r="O98" s="6">
        <v>1032</v>
      </c>
      <c r="P98" s="12">
        <f t="shared" si="2"/>
        <v>768</v>
      </c>
      <c r="Q98" t="str">
        <f t="shared" si="3"/>
        <v>⑤만기경과 후 12개월 초과</v>
      </c>
    </row>
    <row r="99" spans="1:17" ht="13.95" customHeight="1" outlineLevel="3" x14ac:dyDescent="0.25">
      <c r="A99" t="s">
        <v>1</v>
      </c>
      <c r="B99" s="2">
        <v>40060</v>
      </c>
      <c r="C99" s="2">
        <v>40060</v>
      </c>
      <c r="D99" s="2">
        <v>40105</v>
      </c>
      <c r="E99" s="2"/>
      <c r="F99" t="s">
        <v>2</v>
      </c>
      <c r="G99" s="3">
        <v>45</v>
      </c>
      <c r="H99" s="4">
        <v>44400.2</v>
      </c>
      <c r="I99" t="s">
        <v>3</v>
      </c>
      <c r="J99" s="6">
        <v>1400000154</v>
      </c>
      <c r="K99" t="s">
        <v>0</v>
      </c>
      <c r="L99" s="3">
        <v>3980</v>
      </c>
      <c r="M99" s="3">
        <v>3949</v>
      </c>
      <c r="N99" t="s">
        <v>4</v>
      </c>
      <c r="O99" s="6">
        <v>1032</v>
      </c>
      <c r="P99" s="12">
        <f t="shared" si="2"/>
        <v>803</v>
      </c>
      <c r="Q99" t="str">
        <f t="shared" si="3"/>
        <v>⑤만기경과 후 12개월 초과</v>
      </c>
    </row>
    <row r="100" spans="1:17" ht="13.95" customHeight="1" outlineLevel="3" x14ac:dyDescent="0.25">
      <c r="A100" t="s">
        <v>1</v>
      </c>
      <c r="B100" s="2">
        <v>40060</v>
      </c>
      <c r="C100" s="2">
        <v>40060</v>
      </c>
      <c r="D100" s="2">
        <v>40105</v>
      </c>
      <c r="E100" s="2"/>
      <c r="F100" t="s">
        <v>2</v>
      </c>
      <c r="G100" s="3">
        <v>45</v>
      </c>
      <c r="H100" s="4">
        <v>46527.6</v>
      </c>
      <c r="I100" t="s">
        <v>3</v>
      </c>
      <c r="J100" s="6">
        <v>1400000153</v>
      </c>
      <c r="K100" t="s">
        <v>0</v>
      </c>
      <c r="L100" s="3">
        <v>3980</v>
      </c>
      <c r="M100" s="3">
        <v>3949</v>
      </c>
      <c r="N100" t="s">
        <v>4</v>
      </c>
      <c r="O100" s="6">
        <v>1032</v>
      </c>
      <c r="P100" s="12">
        <f t="shared" si="2"/>
        <v>803</v>
      </c>
      <c r="Q100" t="str">
        <f t="shared" si="3"/>
        <v>⑤만기경과 후 12개월 초과</v>
      </c>
    </row>
    <row r="101" spans="1:17" ht="13.95" customHeight="1" outlineLevel="3" x14ac:dyDescent="0.25">
      <c r="A101" t="s">
        <v>1</v>
      </c>
      <c r="B101" s="2">
        <v>40060</v>
      </c>
      <c r="C101" s="2">
        <v>40060</v>
      </c>
      <c r="D101" s="2">
        <v>40105</v>
      </c>
      <c r="E101" s="2"/>
      <c r="F101" t="s">
        <v>2</v>
      </c>
      <c r="G101" s="3">
        <v>45</v>
      </c>
      <c r="H101" s="4">
        <v>18222.599999999999</v>
      </c>
      <c r="I101" t="s">
        <v>3</v>
      </c>
      <c r="J101" s="6">
        <v>1400000152</v>
      </c>
      <c r="K101" t="s">
        <v>0</v>
      </c>
      <c r="L101" s="3">
        <v>3980</v>
      </c>
      <c r="M101" s="3">
        <v>3949</v>
      </c>
      <c r="N101" t="s">
        <v>4</v>
      </c>
      <c r="O101" s="6">
        <v>1032</v>
      </c>
      <c r="P101" s="12">
        <f t="shared" si="2"/>
        <v>803</v>
      </c>
      <c r="Q101" t="str">
        <f t="shared" si="3"/>
        <v>⑤만기경과 후 12개월 초과</v>
      </c>
    </row>
    <row r="102" spans="1:17" ht="13.95" customHeight="1" outlineLevel="3" x14ac:dyDescent="0.25">
      <c r="A102" t="s">
        <v>1</v>
      </c>
      <c r="B102" s="2">
        <v>40035</v>
      </c>
      <c r="C102" s="2">
        <v>40035</v>
      </c>
      <c r="D102" s="2">
        <v>40080</v>
      </c>
      <c r="E102" s="2"/>
      <c r="F102" t="s">
        <v>2</v>
      </c>
      <c r="G102" s="3">
        <v>45</v>
      </c>
      <c r="H102" s="4">
        <v>37569.4</v>
      </c>
      <c r="I102" t="s">
        <v>3</v>
      </c>
      <c r="J102" s="6">
        <v>1400000145</v>
      </c>
      <c r="K102" t="s">
        <v>0</v>
      </c>
      <c r="L102" s="3">
        <v>4005</v>
      </c>
      <c r="M102" s="3">
        <v>3974</v>
      </c>
      <c r="N102" t="s">
        <v>4</v>
      </c>
      <c r="O102" s="6">
        <v>1032</v>
      </c>
      <c r="P102" s="12">
        <f t="shared" si="2"/>
        <v>828</v>
      </c>
      <c r="Q102" t="str">
        <f t="shared" si="3"/>
        <v>⑤만기경과 후 12개월 초과</v>
      </c>
    </row>
    <row r="103" spans="1:17" ht="13.95" customHeight="1" outlineLevel="3" x14ac:dyDescent="0.25">
      <c r="A103" t="s">
        <v>1</v>
      </c>
      <c r="B103" s="2">
        <v>40035</v>
      </c>
      <c r="C103" s="2">
        <v>40035</v>
      </c>
      <c r="D103" s="2">
        <v>40080</v>
      </c>
      <c r="E103" s="2"/>
      <c r="F103" t="s">
        <v>2</v>
      </c>
      <c r="G103" s="3">
        <v>45</v>
      </c>
      <c r="H103" s="4">
        <v>49851</v>
      </c>
      <c r="I103" t="s">
        <v>3</v>
      </c>
      <c r="J103" s="6">
        <v>1400000144</v>
      </c>
      <c r="K103" t="s">
        <v>0</v>
      </c>
      <c r="L103" s="3">
        <v>4005</v>
      </c>
      <c r="M103" s="3">
        <v>3974</v>
      </c>
      <c r="N103" t="s">
        <v>4</v>
      </c>
      <c r="O103" s="6">
        <v>1032</v>
      </c>
      <c r="P103" s="12">
        <f t="shared" si="2"/>
        <v>828</v>
      </c>
      <c r="Q103" t="str">
        <f t="shared" si="3"/>
        <v>⑤만기경과 후 12개월 초과</v>
      </c>
    </row>
    <row r="104" spans="1:17" ht="13.95" customHeight="1" outlineLevel="3" x14ac:dyDescent="0.25">
      <c r="A104" t="s">
        <v>1</v>
      </c>
      <c r="B104" s="2">
        <v>40035</v>
      </c>
      <c r="C104" s="2">
        <v>40035</v>
      </c>
      <c r="D104" s="2">
        <v>40080</v>
      </c>
      <c r="E104" s="2"/>
      <c r="F104" t="s">
        <v>2</v>
      </c>
      <c r="G104" s="3">
        <v>45</v>
      </c>
      <c r="H104" s="4">
        <v>15185.5</v>
      </c>
      <c r="I104" t="s">
        <v>3</v>
      </c>
      <c r="J104" s="6">
        <v>1400000143</v>
      </c>
      <c r="K104" t="s">
        <v>0</v>
      </c>
      <c r="L104" s="3">
        <v>4005</v>
      </c>
      <c r="M104" s="3">
        <v>3974</v>
      </c>
      <c r="N104" t="s">
        <v>4</v>
      </c>
      <c r="O104" s="6">
        <v>1032</v>
      </c>
      <c r="P104" s="12">
        <f t="shared" si="2"/>
        <v>828</v>
      </c>
      <c r="Q104" t="str">
        <f t="shared" si="3"/>
        <v>⑤만기경과 후 12개월 초과</v>
      </c>
    </row>
    <row r="105" spans="1:17" ht="13.95" customHeight="1" outlineLevel="3" x14ac:dyDescent="0.25">
      <c r="A105" t="s">
        <v>1</v>
      </c>
      <c r="B105" s="2">
        <v>40000</v>
      </c>
      <c r="C105" s="2">
        <v>40000</v>
      </c>
      <c r="D105" s="2">
        <v>40045</v>
      </c>
      <c r="E105" s="2"/>
      <c r="F105" t="s">
        <v>2</v>
      </c>
      <c r="G105" s="3">
        <v>45</v>
      </c>
      <c r="H105" s="4">
        <v>23907.8</v>
      </c>
      <c r="I105" t="s">
        <v>3</v>
      </c>
      <c r="J105" s="6">
        <v>1400000126</v>
      </c>
      <c r="K105" t="s">
        <v>0</v>
      </c>
      <c r="L105" s="3">
        <v>4040</v>
      </c>
      <c r="M105" s="3">
        <v>4009</v>
      </c>
      <c r="N105" t="s">
        <v>4</v>
      </c>
      <c r="O105" s="6">
        <v>1032</v>
      </c>
      <c r="P105" s="12">
        <f t="shared" si="2"/>
        <v>863</v>
      </c>
      <c r="Q105" t="str">
        <f t="shared" si="3"/>
        <v>⑤만기경과 후 12개월 초과</v>
      </c>
    </row>
    <row r="106" spans="1:17" ht="13.95" customHeight="1" outlineLevel="3" x14ac:dyDescent="0.25">
      <c r="A106" t="s">
        <v>1</v>
      </c>
      <c r="B106" s="2">
        <v>40000</v>
      </c>
      <c r="C106" s="2">
        <v>40000</v>
      </c>
      <c r="D106" s="2">
        <v>40045</v>
      </c>
      <c r="E106" s="2"/>
      <c r="F106" t="s">
        <v>2</v>
      </c>
      <c r="G106" s="3">
        <v>45</v>
      </c>
      <c r="H106" s="4">
        <v>49851</v>
      </c>
      <c r="I106" t="s">
        <v>3</v>
      </c>
      <c r="J106" s="6">
        <v>1400000125</v>
      </c>
      <c r="K106" t="s">
        <v>0</v>
      </c>
      <c r="L106" s="3">
        <v>4040</v>
      </c>
      <c r="M106" s="3">
        <v>4009</v>
      </c>
      <c r="N106" t="s">
        <v>4</v>
      </c>
      <c r="O106" s="6">
        <v>1032</v>
      </c>
      <c r="P106" s="12">
        <f t="shared" si="2"/>
        <v>863</v>
      </c>
      <c r="Q106" t="str">
        <f t="shared" si="3"/>
        <v>⑤만기경과 후 12개월 초과</v>
      </c>
    </row>
    <row r="107" spans="1:17" ht="13.95" customHeight="1" outlineLevel="3" x14ac:dyDescent="0.25">
      <c r="A107" t="s">
        <v>1</v>
      </c>
      <c r="B107" s="2">
        <v>40000</v>
      </c>
      <c r="C107" s="2">
        <v>40000</v>
      </c>
      <c r="D107" s="2">
        <v>40045</v>
      </c>
      <c r="E107" s="2"/>
      <c r="F107" t="s">
        <v>2</v>
      </c>
      <c r="G107" s="3">
        <v>45</v>
      </c>
      <c r="H107" s="4">
        <v>18222.599999999999</v>
      </c>
      <c r="I107" t="s">
        <v>3</v>
      </c>
      <c r="J107" s="6">
        <v>1400000124</v>
      </c>
      <c r="K107" t="s">
        <v>0</v>
      </c>
      <c r="L107" s="3">
        <v>4040</v>
      </c>
      <c r="M107" s="3">
        <v>4009</v>
      </c>
      <c r="N107" t="s">
        <v>4</v>
      </c>
      <c r="O107" s="6">
        <v>1032</v>
      </c>
      <c r="P107" s="12">
        <f t="shared" si="2"/>
        <v>863</v>
      </c>
      <c r="Q107" t="str">
        <f t="shared" si="3"/>
        <v>⑤만기경과 후 12개월 초과</v>
      </c>
    </row>
    <row r="108" spans="1:17" ht="13.95" customHeight="1" outlineLevel="3" x14ac:dyDescent="0.25">
      <c r="A108" t="s">
        <v>1</v>
      </c>
      <c r="B108" s="2">
        <v>39972</v>
      </c>
      <c r="C108" s="2">
        <v>39972</v>
      </c>
      <c r="D108" s="2">
        <v>40017</v>
      </c>
      <c r="E108" s="2"/>
      <c r="F108" t="s">
        <v>2</v>
      </c>
      <c r="G108" s="3">
        <v>45</v>
      </c>
      <c r="H108" s="4">
        <v>17077</v>
      </c>
      <c r="I108" t="s">
        <v>3</v>
      </c>
      <c r="J108" s="6">
        <v>1400000107</v>
      </c>
      <c r="K108" t="s">
        <v>0</v>
      </c>
      <c r="L108" s="3">
        <v>4068</v>
      </c>
      <c r="M108" s="3">
        <v>4037</v>
      </c>
      <c r="N108" t="s">
        <v>4</v>
      </c>
      <c r="O108" s="6">
        <v>1032</v>
      </c>
      <c r="P108" s="12">
        <f t="shared" si="2"/>
        <v>891</v>
      </c>
      <c r="Q108" t="str">
        <f t="shared" si="3"/>
        <v>⑤만기경과 후 12개월 초과</v>
      </c>
    </row>
    <row r="109" spans="1:17" ht="13.95" customHeight="1" outlineLevel="3" x14ac:dyDescent="0.25">
      <c r="A109" t="s">
        <v>1</v>
      </c>
      <c r="B109" s="2">
        <v>39972</v>
      </c>
      <c r="C109" s="2">
        <v>39972</v>
      </c>
      <c r="D109" s="2">
        <v>40017</v>
      </c>
      <c r="E109" s="2"/>
      <c r="F109" t="s">
        <v>2</v>
      </c>
      <c r="G109" s="3">
        <v>45</v>
      </c>
      <c r="H109" s="4">
        <v>53174.400000000001</v>
      </c>
      <c r="I109" t="s">
        <v>3</v>
      </c>
      <c r="J109" s="6">
        <v>1400000106</v>
      </c>
      <c r="K109" t="s">
        <v>0</v>
      </c>
      <c r="L109" s="3">
        <v>4068</v>
      </c>
      <c r="M109" s="3">
        <v>4037</v>
      </c>
      <c r="N109" t="s">
        <v>4</v>
      </c>
      <c r="O109" s="6">
        <v>1032</v>
      </c>
      <c r="P109" s="12">
        <f t="shared" si="2"/>
        <v>891</v>
      </c>
      <c r="Q109" t="str">
        <f t="shared" si="3"/>
        <v>⑤만기경과 후 12개월 초과</v>
      </c>
    </row>
    <row r="110" spans="1:17" ht="13.95" customHeight="1" outlineLevel="3" x14ac:dyDescent="0.25">
      <c r="A110" t="s">
        <v>1</v>
      </c>
      <c r="B110" s="2">
        <v>39972</v>
      </c>
      <c r="C110" s="2">
        <v>39972</v>
      </c>
      <c r="D110" s="2">
        <v>40017</v>
      </c>
      <c r="E110" s="2"/>
      <c r="F110" t="s">
        <v>2</v>
      </c>
      <c r="G110" s="3">
        <v>45</v>
      </c>
      <c r="H110" s="4">
        <v>27333.9</v>
      </c>
      <c r="I110" t="s">
        <v>3</v>
      </c>
      <c r="J110" s="6">
        <v>1400000105</v>
      </c>
      <c r="K110" t="s">
        <v>0</v>
      </c>
      <c r="L110" s="3">
        <v>4068</v>
      </c>
      <c r="M110" s="3">
        <v>4037</v>
      </c>
      <c r="N110" t="s">
        <v>4</v>
      </c>
      <c r="O110" s="6">
        <v>1032</v>
      </c>
      <c r="P110" s="12">
        <f t="shared" si="2"/>
        <v>891</v>
      </c>
      <c r="Q110" t="str">
        <f t="shared" si="3"/>
        <v>⑤만기경과 후 12개월 초과</v>
      </c>
    </row>
    <row r="111" spans="1:17" ht="13.95" customHeight="1" outlineLevel="3" x14ac:dyDescent="0.25">
      <c r="A111" t="s">
        <v>1</v>
      </c>
      <c r="B111" s="2">
        <v>39938</v>
      </c>
      <c r="C111" s="2">
        <v>39938</v>
      </c>
      <c r="D111" s="2">
        <v>39983</v>
      </c>
      <c r="E111" s="2"/>
      <c r="F111" t="s">
        <v>2</v>
      </c>
      <c r="G111" s="3">
        <v>45</v>
      </c>
      <c r="H111" s="4">
        <v>20492.400000000001</v>
      </c>
      <c r="I111" t="s">
        <v>3</v>
      </c>
      <c r="J111" s="6">
        <v>1400000088</v>
      </c>
      <c r="K111" t="s">
        <v>0</v>
      </c>
      <c r="L111" s="3">
        <v>4102</v>
      </c>
      <c r="M111" s="3">
        <v>4071</v>
      </c>
      <c r="N111" t="s">
        <v>4</v>
      </c>
      <c r="O111" s="6">
        <v>1032</v>
      </c>
      <c r="P111" s="12">
        <f t="shared" si="2"/>
        <v>925</v>
      </c>
      <c r="Q111" t="str">
        <f t="shared" si="3"/>
        <v>⑤만기경과 후 12개월 초과</v>
      </c>
    </row>
    <row r="112" spans="1:17" ht="13.95" customHeight="1" outlineLevel="3" x14ac:dyDescent="0.25">
      <c r="A112" t="s">
        <v>1</v>
      </c>
      <c r="B112" s="2">
        <v>39938</v>
      </c>
      <c r="C112" s="2">
        <v>39938</v>
      </c>
      <c r="D112" s="2">
        <v>39983</v>
      </c>
      <c r="E112" s="2"/>
      <c r="F112" t="s">
        <v>2</v>
      </c>
      <c r="G112" s="3">
        <v>45</v>
      </c>
      <c r="H112" s="4">
        <v>43204.2</v>
      </c>
      <c r="I112" t="s">
        <v>3</v>
      </c>
      <c r="J112" s="6">
        <v>1400000087</v>
      </c>
      <c r="K112" t="s">
        <v>0</v>
      </c>
      <c r="L112" s="3">
        <v>4102</v>
      </c>
      <c r="M112" s="3">
        <v>4071</v>
      </c>
      <c r="N112" t="s">
        <v>4</v>
      </c>
      <c r="O112" s="6">
        <v>1032</v>
      </c>
      <c r="P112" s="12">
        <f t="shared" si="2"/>
        <v>925</v>
      </c>
      <c r="Q112" t="str">
        <f t="shared" si="3"/>
        <v>⑤만기경과 후 12개월 초과</v>
      </c>
    </row>
    <row r="113" spans="1:17" ht="13.95" customHeight="1" outlineLevel="3" x14ac:dyDescent="0.25">
      <c r="A113" t="s">
        <v>1</v>
      </c>
      <c r="B113" s="2">
        <v>39938</v>
      </c>
      <c r="C113" s="2">
        <v>39938</v>
      </c>
      <c r="D113" s="2">
        <v>39983</v>
      </c>
      <c r="E113" s="2"/>
      <c r="F113" t="s">
        <v>2</v>
      </c>
      <c r="G113" s="3">
        <v>45</v>
      </c>
      <c r="H113" s="4">
        <v>36445.199999999997</v>
      </c>
      <c r="I113" t="s">
        <v>3</v>
      </c>
      <c r="J113" s="6">
        <v>1400000086</v>
      </c>
      <c r="K113" t="s">
        <v>0</v>
      </c>
      <c r="L113" s="3">
        <v>4102</v>
      </c>
      <c r="M113" s="3">
        <v>4071</v>
      </c>
      <c r="N113" t="s">
        <v>4</v>
      </c>
      <c r="O113" s="6">
        <v>1032</v>
      </c>
      <c r="P113" s="12">
        <f t="shared" si="2"/>
        <v>925</v>
      </c>
      <c r="Q113" t="str">
        <f t="shared" si="3"/>
        <v>⑤만기경과 후 12개월 초과</v>
      </c>
    </row>
    <row r="114" spans="1:17" ht="13.95" customHeight="1" outlineLevel="3" x14ac:dyDescent="0.25">
      <c r="A114" t="s">
        <v>1</v>
      </c>
      <c r="B114" s="2">
        <v>39933</v>
      </c>
      <c r="C114" s="2">
        <v>39933</v>
      </c>
      <c r="D114" s="2">
        <v>39978</v>
      </c>
      <c r="E114" s="2"/>
      <c r="F114" t="s">
        <v>2</v>
      </c>
      <c r="G114" s="3">
        <v>45</v>
      </c>
      <c r="H114" s="4">
        <v>23907.8</v>
      </c>
      <c r="I114" t="s">
        <v>3</v>
      </c>
      <c r="J114" s="6">
        <v>1400000069</v>
      </c>
      <c r="K114" t="s">
        <v>0</v>
      </c>
      <c r="L114" s="3">
        <v>4107</v>
      </c>
      <c r="M114" s="3">
        <v>4076</v>
      </c>
      <c r="N114" t="s">
        <v>4</v>
      </c>
      <c r="O114" s="6">
        <v>1032</v>
      </c>
      <c r="P114" s="12">
        <f t="shared" si="2"/>
        <v>930</v>
      </c>
      <c r="Q114" t="str">
        <f t="shared" si="3"/>
        <v>⑤만기경과 후 12개월 초과</v>
      </c>
    </row>
    <row r="115" spans="1:17" ht="13.95" customHeight="1" outlineLevel="3" x14ac:dyDescent="0.25">
      <c r="A115" t="s">
        <v>1</v>
      </c>
      <c r="B115" s="2">
        <v>39933</v>
      </c>
      <c r="C115" s="2">
        <v>39933</v>
      </c>
      <c r="D115" s="2">
        <v>39978</v>
      </c>
      <c r="E115" s="2"/>
      <c r="F115" t="s">
        <v>2</v>
      </c>
      <c r="G115" s="3">
        <v>45</v>
      </c>
      <c r="H115" s="4">
        <v>36557.4</v>
      </c>
      <c r="I115" t="s">
        <v>3</v>
      </c>
      <c r="J115" s="6">
        <v>1400000068</v>
      </c>
      <c r="K115" t="s">
        <v>0</v>
      </c>
      <c r="L115" s="3">
        <v>4107</v>
      </c>
      <c r="M115" s="3">
        <v>4076</v>
      </c>
      <c r="N115" t="s">
        <v>4</v>
      </c>
      <c r="O115" s="6">
        <v>1032</v>
      </c>
      <c r="P115" s="12">
        <f t="shared" si="2"/>
        <v>930</v>
      </c>
      <c r="Q115" t="str">
        <f t="shared" si="3"/>
        <v>⑤만기경과 후 12개월 초과</v>
      </c>
    </row>
    <row r="116" spans="1:17" ht="13.95" customHeight="1" outlineLevel="3" x14ac:dyDescent="0.25">
      <c r="A116" t="s">
        <v>1</v>
      </c>
      <c r="B116" s="2">
        <v>39933</v>
      </c>
      <c r="C116" s="2">
        <v>39933</v>
      </c>
      <c r="D116" s="2">
        <v>39978</v>
      </c>
      <c r="E116" s="2"/>
      <c r="F116" t="s">
        <v>2</v>
      </c>
      <c r="G116" s="3">
        <v>45</v>
      </c>
      <c r="H116" s="4">
        <v>36445.199999999997</v>
      </c>
      <c r="I116" t="s">
        <v>3</v>
      </c>
      <c r="J116" s="6">
        <v>1400000067</v>
      </c>
      <c r="K116" t="s">
        <v>0</v>
      </c>
      <c r="L116" s="3">
        <v>4107</v>
      </c>
      <c r="M116" s="3">
        <v>4076</v>
      </c>
      <c r="N116" t="s">
        <v>4</v>
      </c>
      <c r="O116" s="6">
        <v>1032</v>
      </c>
      <c r="P116" s="12">
        <f t="shared" si="2"/>
        <v>930</v>
      </c>
      <c r="Q116" t="str">
        <f t="shared" si="3"/>
        <v>⑤만기경과 후 12개월 초과</v>
      </c>
    </row>
    <row r="117" spans="1:17" ht="13.95" customHeight="1" outlineLevel="3" x14ac:dyDescent="0.25">
      <c r="A117" t="s">
        <v>1</v>
      </c>
      <c r="B117" s="2">
        <v>39897</v>
      </c>
      <c r="C117" s="2">
        <v>39897</v>
      </c>
      <c r="D117" s="2">
        <v>39942</v>
      </c>
      <c r="E117" s="2"/>
      <c r="F117" t="s">
        <v>2</v>
      </c>
      <c r="G117" s="3">
        <v>45</v>
      </c>
      <c r="H117" s="4">
        <v>30738.6</v>
      </c>
      <c r="I117" t="s">
        <v>3</v>
      </c>
      <c r="J117" s="6">
        <v>1400000050</v>
      </c>
      <c r="K117" t="s">
        <v>0</v>
      </c>
      <c r="L117" s="3">
        <v>4143</v>
      </c>
      <c r="M117" s="3">
        <v>4112</v>
      </c>
      <c r="N117" t="s">
        <v>4</v>
      </c>
      <c r="O117" s="6">
        <v>1032</v>
      </c>
      <c r="P117" s="12">
        <f t="shared" si="2"/>
        <v>966</v>
      </c>
      <c r="Q117" t="str">
        <f t="shared" si="3"/>
        <v>⑤만기경과 후 12개월 초과</v>
      </c>
    </row>
    <row r="118" spans="1:17" ht="13.95" customHeight="1" outlineLevel="3" x14ac:dyDescent="0.25">
      <c r="A118" t="s">
        <v>1</v>
      </c>
      <c r="B118" s="2">
        <v>39897</v>
      </c>
      <c r="C118" s="2">
        <v>39897</v>
      </c>
      <c r="D118" s="2">
        <v>39942</v>
      </c>
      <c r="E118" s="2"/>
      <c r="F118" t="s">
        <v>2</v>
      </c>
      <c r="G118" s="3">
        <v>45</v>
      </c>
      <c r="H118" s="4">
        <v>29910.6</v>
      </c>
      <c r="I118" t="s">
        <v>3</v>
      </c>
      <c r="J118" s="6">
        <v>1400000049</v>
      </c>
      <c r="K118" t="s">
        <v>0</v>
      </c>
      <c r="L118" s="3">
        <v>4143</v>
      </c>
      <c r="M118" s="3">
        <v>4112</v>
      </c>
      <c r="N118" t="s">
        <v>4</v>
      </c>
      <c r="O118" s="6">
        <v>1032</v>
      </c>
      <c r="P118" s="12">
        <f t="shared" si="2"/>
        <v>966</v>
      </c>
      <c r="Q118" t="str">
        <f t="shared" si="3"/>
        <v>⑤만기경과 후 12개월 초과</v>
      </c>
    </row>
    <row r="119" spans="1:17" ht="13.95" customHeight="1" outlineLevel="3" x14ac:dyDescent="0.25">
      <c r="A119" t="s">
        <v>1</v>
      </c>
      <c r="B119" s="2">
        <v>39897</v>
      </c>
      <c r="C119" s="2">
        <v>39897</v>
      </c>
      <c r="D119" s="2">
        <v>39942</v>
      </c>
      <c r="E119" s="2"/>
      <c r="F119" t="s">
        <v>2</v>
      </c>
      <c r="G119" s="3">
        <v>45</v>
      </c>
      <c r="H119" s="4">
        <v>45556.5</v>
      </c>
      <c r="I119" t="s">
        <v>3</v>
      </c>
      <c r="J119" s="6">
        <v>1400000048</v>
      </c>
      <c r="K119" t="s">
        <v>0</v>
      </c>
      <c r="L119" s="3">
        <v>4143</v>
      </c>
      <c r="M119" s="3">
        <v>4112</v>
      </c>
      <c r="N119" t="s">
        <v>4</v>
      </c>
      <c r="O119" s="6">
        <v>1032</v>
      </c>
      <c r="P119" s="12">
        <f t="shared" si="2"/>
        <v>966</v>
      </c>
      <c r="Q119" t="str">
        <f t="shared" si="3"/>
        <v>⑤만기경과 후 12개월 초과</v>
      </c>
    </row>
    <row r="120" spans="1:17" ht="13.95" customHeight="1" outlineLevel="3" x14ac:dyDescent="0.25">
      <c r="A120" t="s">
        <v>1</v>
      </c>
      <c r="B120" s="2">
        <v>39860</v>
      </c>
      <c r="C120" s="2">
        <v>39860</v>
      </c>
      <c r="D120" s="2">
        <v>39905</v>
      </c>
      <c r="E120" s="2"/>
      <c r="F120" t="s">
        <v>2</v>
      </c>
      <c r="G120" s="3">
        <v>45</v>
      </c>
      <c r="H120" s="4">
        <v>37569.4</v>
      </c>
      <c r="I120" t="s">
        <v>3</v>
      </c>
      <c r="J120" s="6">
        <v>1400000031</v>
      </c>
      <c r="K120" t="s">
        <v>0</v>
      </c>
      <c r="L120" s="3">
        <v>4180</v>
      </c>
      <c r="M120" s="3">
        <v>4149</v>
      </c>
      <c r="N120" t="s">
        <v>4</v>
      </c>
      <c r="O120" s="6">
        <v>1032</v>
      </c>
      <c r="P120" s="12">
        <f t="shared" si="2"/>
        <v>1003</v>
      </c>
      <c r="Q120" t="str">
        <f t="shared" si="3"/>
        <v>⑤만기경과 후 12개월 초과</v>
      </c>
    </row>
    <row r="121" spans="1:17" ht="13.95" customHeight="1" outlineLevel="3" x14ac:dyDescent="0.25">
      <c r="A121" t="s">
        <v>1</v>
      </c>
      <c r="B121" s="2">
        <v>39860</v>
      </c>
      <c r="C121" s="2">
        <v>39860</v>
      </c>
      <c r="D121" s="2">
        <v>39905</v>
      </c>
      <c r="E121" s="2"/>
      <c r="F121" t="s">
        <v>2</v>
      </c>
      <c r="G121" s="3">
        <v>45</v>
      </c>
      <c r="H121" s="4">
        <v>29910.6</v>
      </c>
      <c r="I121" t="s">
        <v>3</v>
      </c>
      <c r="J121" s="6">
        <v>1400000030</v>
      </c>
      <c r="K121" t="s">
        <v>0</v>
      </c>
      <c r="L121" s="3">
        <v>4180</v>
      </c>
      <c r="M121" s="3">
        <v>4149</v>
      </c>
      <c r="N121" t="s">
        <v>4</v>
      </c>
      <c r="O121" s="6">
        <v>1032</v>
      </c>
      <c r="P121" s="12">
        <f t="shared" si="2"/>
        <v>1003</v>
      </c>
      <c r="Q121" t="str">
        <f t="shared" si="3"/>
        <v>⑤만기경과 후 12개월 초과</v>
      </c>
    </row>
    <row r="122" spans="1:17" ht="13.95" customHeight="1" outlineLevel="3" x14ac:dyDescent="0.25">
      <c r="A122" t="s">
        <v>1</v>
      </c>
      <c r="B122" s="2">
        <v>39860</v>
      </c>
      <c r="C122" s="2">
        <v>39860</v>
      </c>
      <c r="D122" s="2">
        <v>39905</v>
      </c>
      <c r="E122" s="2"/>
      <c r="F122" t="s">
        <v>2</v>
      </c>
      <c r="G122" s="3">
        <v>45</v>
      </c>
      <c r="H122" s="4">
        <v>36445.199999999997</v>
      </c>
      <c r="I122" t="s">
        <v>3</v>
      </c>
      <c r="J122" s="6">
        <v>1400000029</v>
      </c>
      <c r="K122" t="s">
        <v>0</v>
      </c>
      <c r="L122" s="3">
        <v>4180</v>
      </c>
      <c r="M122" s="3">
        <v>4149</v>
      </c>
      <c r="N122" t="s">
        <v>4</v>
      </c>
      <c r="O122" s="6">
        <v>1032</v>
      </c>
      <c r="P122" s="12">
        <f t="shared" si="2"/>
        <v>1003</v>
      </c>
      <c r="Q122" t="str">
        <f t="shared" si="3"/>
        <v>⑤만기경과 후 12개월 초과</v>
      </c>
    </row>
    <row r="123" spans="1:17" ht="13.95" customHeight="1" outlineLevel="3" x14ac:dyDescent="0.25">
      <c r="A123" t="s">
        <v>1</v>
      </c>
      <c r="B123" s="2">
        <v>39832</v>
      </c>
      <c r="C123" s="2">
        <v>39832</v>
      </c>
      <c r="D123" s="2">
        <v>39877</v>
      </c>
      <c r="E123" s="2"/>
      <c r="F123" t="s">
        <v>2</v>
      </c>
      <c r="G123" s="3">
        <v>45</v>
      </c>
      <c r="H123" s="4">
        <v>40984.800000000003</v>
      </c>
      <c r="I123" t="s">
        <v>3</v>
      </c>
      <c r="J123" s="6">
        <v>1400000012</v>
      </c>
      <c r="K123" t="s">
        <v>0</v>
      </c>
      <c r="L123" s="3">
        <v>4208</v>
      </c>
      <c r="M123" s="3">
        <v>4177</v>
      </c>
      <c r="N123" t="s">
        <v>4</v>
      </c>
      <c r="O123" s="6">
        <v>1032</v>
      </c>
      <c r="P123" s="12">
        <f t="shared" si="2"/>
        <v>1031</v>
      </c>
      <c r="Q123" t="str">
        <f t="shared" si="3"/>
        <v>⑤만기경과 후 12개월 초과</v>
      </c>
    </row>
    <row r="124" spans="1:17" ht="13.95" customHeight="1" outlineLevel="3" x14ac:dyDescent="0.25">
      <c r="A124" t="s">
        <v>1</v>
      </c>
      <c r="B124" s="2">
        <v>39832</v>
      </c>
      <c r="C124" s="2">
        <v>39832</v>
      </c>
      <c r="D124" s="2">
        <v>39877</v>
      </c>
      <c r="E124" s="2"/>
      <c r="F124" t="s">
        <v>2</v>
      </c>
      <c r="G124" s="3">
        <v>45</v>
      </c>
      <c r="H124" s="4">
        <v>23263.8</v>
      </c>
      <c r="I124" t="s">
        <v>3</v>
      </c>
      <c r="J124" s="6">
        <v>1400000011</v>
      </c>
      <c r="K124" t="s">
        <v>0</v>
      </c>
      <c r="L124" s="3">
        <v>4208</v>
      </c>
      <c r="M124" s="3">
        <v>4177</v>
      </c>
      <c r="N124" t="s">
        <v>4</v>
      </c>
      <c r="O124" s="6">
        <v>1032</v>
      </c>
      <c r="P124" s="12">
        <f t="shared" si="2"/>
        <v>1031</v>
      </c>
      <c r="Q124" t="str">
        <f t="shared" si="3"/>
        <v>⑤만기경과 후 12개월 초과</v>
      </c>
    </row>
    <row r="125" spans="1:17" ht="13.95" customHeight="1" outlineLevel="3" x14ac:dyDescent="0.25">
      <c r="A125" t="s">
        <v>1</v>
      </c>
      <c r="B125" s="2">
        <v>39832</v>
      </c>
      <c r="C125" s="2">
        <v>39832</v>
      </c>
      <c r="D125" s="2">
        <v>39877</v>
      </c>
      <c r="E125" s="2"/>
      <c r="F125" t="s">
        <v>2</v>
      </c>
      <c r="G125" s="3">
        <v>45</v>
      </c>
      <c r="H125" s="4">
        <v>30371</v>
      </c>
      <c r="I125" t="s">
        <v>3</v>
      </c>
      <c r="J125" s="6">
        <v>1400000010</v>
      </c>
      <c r="K125" t="s">
        <v>0</v>
      </c>
      <c r="L125" s="3">
        <v>4208</v>
      </c>
      <c r="M125" s="3">
        <v>4177</v>
      </c>
      <c r="N125" t="s">
        <v>4</v>
      </c>
      <c r="O125" s="6">
        <v>1032</v>
      </c>
      <c r="P125" s="12">
        <f t="shared" si="2"/>
        <v>1031</v>
      </c>
      <c r="Q125" t="str">
        <f t="shared" si="3"/>
        <v>⑤만기경과 후 12개월 초과</v>
      </c>
    </row>
    <row r="126" spans="1:17" ht="13.95" customHeight="1" outlineLevel="3" x14ac:dyDescent="0.25">
      <c r="A126" t="s">
        <v>1</v>
      </c>
      <c r="B126" s="2">
        <v>39792</v>
      </c>
      <c r="C126" s="2">
        <v>39792</v>
      </c>
      <c r="D126" s="2">
        <v>39837</v>
      </c>
      <c r="E126" s="2"/>
      <c r="F126" t="s">
        <v>2</v>
      </c>
      <c r="G126" s="3">
        <v>45</v>
      </c>
      <c r="H126" s="4">
        <v>44400.2</v>
      </c>
      <c r="I126" t="s">
        <v>3</v>
      </c>
      <c r="J126" s="6">
        <v>1400000230</v>
      </c>
      <c r="K126" t="s">
        <v>0</v>
      </c>
      <c r="L126" s="3">
        <v>4248</v>
      </c>
      <c r="M126" s="3">
        <v>4217</v>
      </c>
      <c r="N126" t="s">
        <v>4</v>
      </c>
      <c r="O126" s="6">
        <v>1032</v>
      </c>
      <c r="P126" s="12">
        <f t="shared" si="2"/>
        <v>1071</v>
      </c>
      <c r="Q126" t="str">
        <f t="shared" si="3"/>
        <v>⑤만기경과 후 12개월 초과</v>
      </c>
    </row>
    <row r="127" spans="1:17" ht="13.95" customHeight="1" outlineLevel="3" x14ac:dyDescent="0.25">
      <c r="A127" t="s">
        <v>1</v>
      </c>
      <c r="B127" s="2">
        <v>39792</v>
      </c>
      <c r="C127" s="2">
        <v>39792</v>
      </c>
      <c r="D127" s="2">
        <v>39837</v>
      </c>
      <c r="E127" s="2"/>
      <c r="F127" t="s">
        <v>2</v>
      </c>
      <c r="G127" s="3">
        <v>45</v>
      </c>
      <c r="H127" s="4">
        <v>29910.6</v>
      </c>
      <c r="I127" t="s">
        <v>3</v>
      </c>
      <c r="J127" s="6">
        <v>1400000229</v>
      </c>
      <c r="K127" t="s">
        <v>0</v>
      </c>
      <c r="L127" s="3">
        <v>4248</v>
      </c>
      <c r="M127" s="3">
        <v>4217</v>
      </c>
      <c r="N127" t="s">
        <v>4</v>
      </c>
      <c r="O127" s="6">
        <v>1032</v>
      </c>
      <c r="P127" s="12">
        <f t="shared" si="2"/>
        <v>1071</v>
      </c>
      <c r="Q127" t="str">
        <f t="shared" si="3"/>
        <v>⑤만기경과 후 12개월 초과</v>
      </c>
    </row>
    <row r="128" spans="1:17" ht="13.95" customHeight="1" outlineLevel="3" x14ac:dyDescent="0.25">
      <c r="A128" t="s">
        <v>1</v>
      </c>
      <c r="B128" s="2">
        <v>39792</v>
      </c>
      <c r="C128" s="2">
        <v>39792</v>
      </c>
      <c r="D128" s="2">
        <v>39837</v>
      </c>
      <c r="E128" s="2"/>
      <c r="F128" t="s">
        <v>2</v>
      </c>
      <c r="G128" s="3">
        <v>45</v>
      </c>
      <c r="H128" s="4">
        <v>33408.1</v>
      </c>
      <c r="I128" t="s">
        <v>3</v>
      </c>
      <c r="J128" s="6">
        <v>1400000228</v>
      </c>
      <c r="K128" t="s">
        <v>0</v>
      </c>
      <c r="L128" s="3">
        <v>4248</v>
      </c>
      <c r="M128" s="3">
        <v>4217</v>
      </c>
      <c r="N128" t="s">
        <v>4</v>
      </c>
      <c r="O128" s="6">
        <v>1032</v>
      </c>
      <c r="P128" s="12">
        <f t="shared" si="2"/>
        <v>1071</v>
      </c>
      <c r="Q128" t="str">
        <f t="shared" si="3"/>
        <v>⑤만기경과 후 12개월 초과</v>
      </c>
    </row>
    <row r="129" spans="1:17" ht="13.95" customHeight="1" outlineLevel="3" x14ac:dyDescent="0.25">
      <c r="A129" t="s">
        <v>1</v>
      </c>
      <c r="B129" s="2">
        <v>39762</v>
      </c>
      <c r="C129" s="2">
        <v>39762</v>
      </c>
      <c r="D129" s="2">
        <v>39807</v>
      </c>
      <c r="E129" s="2"/>
      <c r="F129" t="s">
        <v>2</v>
      </c>
      <c r="G129" s="3">
        <v>45</v>
      </c>
      <c r="H129" s="4">
        <v>47815.6</v>
      </c>
      <c r="I129" t="s">
        <v>3</v>
      </c>
      <c r="J129" s="6">
        <v>1400000211</v>
      </c>
      <c r="K129" t="s">
        <v>0</v>
      </c>
      <c r="L129" s="3">
        <v>4278</v>
      </c>
      <c r="M129" s="3">
        <v>4247</v>
      </c>
      <c r="N129" t="s">
        <v>4</v>
      </c>
      <c r="O129" s="6">
        <v>1032</v>
      </c>
      <c r="P129" s="12">
        <f t="shared" si="2"/>
        <v>1101</v>
      </c>
      <c r="Q129" t="str">
        <f t="shared" si="3"/>
        <v>⑤만기경과 후 12개월 초과</v>
      </c>
    </row>
    <row r="130" spans="1:17" ht="13.95" customHeight="1" outlineLevel="3" x14ac:dyDescent="0.25">
      <c r="A130" t="s">
        <v>1</v>
      </c>
      <c r="B130" s="2">
        <v>39762</v>
      </c>
      <c r="C130" s="2">
        <v>39762</v>
      </c>
      <c r="D130" s="2">
        <v>39807</v>
      </c>
      <c r="E130" s="2"/>
      <c r="F130" t="s">
        <v>2</v>
      </c>
      <c r="G130" s="3">
        <v>45</v>
      </c>
      <c r="H130" s="4">
        <v>33234</v>
      </c>
      <c r="I130" t="s">
        <v>3</v>
      </c>
      <c r="J130" s="6">
        <v>1400000210</v>
      </c>
      <c r="K130" t="s">
        <v>0</v>
      </c>
      <c r="L130" s="3">
        <v>4278</v>
      </c>
      <c r="M130" s="3">
        <v>4247</v>
      </c>
      <c r="N130" t="s">
        <v>4</v>
      </c>
      <c r="O130" s="6">
        <v>1032</v>
      </c>
      <c r="P130" s="12">
        <f t="shared" si="2"/>
        <v>1101</v>
      </c>
      <c r="Q130" t="str">
        <f t="shared" si="3"/>
        <v>⑤만기경과 후 12개월 초과</v>
      </c>
    </row>
    <row r="131" spans="1:17" ht="13.95" customHeight="1" outlineLevel="3" x14ac:dyDescent="0.25">
      <c r="A131" t="s">
        <v>1</v>
      </c>
      <c r="B131" s="2">
        <v>39762</v>
      </c>
      <c r="C131" s="2">
        <v>39762</v>
      </c>
      <c r="D131" s="2">
        <v>39807</v>
      </c>
      <c r="E131" s="2"/>
      <c r="F131" t="s">
        <v>2</v>
      </c>
      <c r="G131" s="3">
        <v>45</v>
      </c>
      <c r="H131" s="4">
        <v>27333.9</v>
      </c>
      <c r="I131" t="s">
        <v>3</v>
      </c>
      <c r="J131" s="6">
        <v>1400000209</v>
      </c>
      <c r="K131" t="s">
        <v>0</v>
      </c>
      <c r="L131" s="3">
        <v>4278</v>
      </c>
      <c r="M131" s="3">
        <v>4247</v>
      </c>
      <c r="N131" t="s">
        <v>4</v>
      </c>
      <c r="O131" s="6">
        <v>1032</v>
      </c>
      <c r="P131" s="12">
        <f t="shared" ref="P131:P194" si="4">$T$1-D131</f>
        <v>1101</v>
      </c>
      <c r="Q131" t="str">
        <f t="shared" ref="Q131:Q194" si="5">IF(P131&lt;=0,"①연체되지 않은 채권",IF(P131&lt;=92,"②만기경과 후 3개월 이하",IF(P131&lt;=184,"③만기경과 후 4~6개월",IF(P131&lt;=365,"④만기경과 후 7~12개월","⑤만기경과 후 12개월 초과"))))</f>
        <v>⑤만기경과 후 12개월 초과</v>
      </c>
    </row>
    <row r="132" spans="1:17" ht="13.95" customHeight="1" outlineLevel="3" x14ac:dyDescent="0.25">
      <c r="A132" t="s">
        <v>1</v>
      </c>
      <c r="B132" s="2">
        <v>40595</v>
      </c>
      <c r="C132" s="2">
        <v>40595</v>
      </c>
      <c r="D132" s="2">
        <v>40640</v>
      </c>
      <c r="E132" s="2"/>
      <c r="F132" t="s">
        <v>2</v>
      </c>
      <c r="G132" s="3">
        <v>45</v>
      </c>
      <c r="H132" s="4">
        <v>37569.4</v>
      </c>
      <c r="I132" t="s">
        <v>3</v>
      </c>
      <c r="J132" s="6">
        <v>1400000011</v>
      </c>
      <c r="K132" t="s">
        <v>0</v>
      </c>
      <c r="L132" s="3">
        <v>3445</v>
      </c>
      <c r="M132" s="3">
        <v>3414</v>
      </c>
      <c r="N132" t="s">
        <v>4</v>
      </c>
      <c r="O132" s="6">
        <v>1032</v>
      </c>
      <c r="P132" s="12">
        <f t="shared" si="4"/>
        <v>268</v>
      </c>
      <c r="Q132" t="str">
        <f t="shared" si="5"/>
        <v>④만기경과 후 7~12개월</v>
      </c>
    </row>
    <row r="133" spans="1:17" ht="13.95" customHeight="1" outlineLevel="3" x14ac:dyDescent="0.25">
      <c r="A133" t="s">
        <v>1</v>
      </c>
      <c r="B133" s="2">
        <v>40595</v>
      </c>
      <c r="C133" s="2">
        <v>40595</v>
      </c>
      <c r="D133" s="2">
        <v>40640</v>
      </c>
      <c r="E133" s="2"/>
      <c r="F133" t="s">
        <v>2</v>
      </c>
      <c r="G133" s="3">
        <v>45</v>
      </c>
      <c r="H133" s="4">
        <v>29910.6</v>
      </c>
      <c r="I133" t="s">
        <v>3</v>
      </c>
      <c r="J133" s="6">
        <v>1400000010</v>
      </c>
      <c r="K133" t="s">
        <v>0</v>
      </c>
      <c r="L133" s="3">
        <v>3445</v>
      </c>
      <c r="M133" s="3">
        <v>3414</v>
      </c>
      <c r="N133" t="s">
        <v>4</v>
      </c>
      <c r="O133" s="6">
        <v>1032</v>
      </c>
      <c r="P133" s="12">
        <f t="shared" si="4"/>
        <v>268</v>
      </c>
      <c r="Q133" t="str">
        <f t="shared" si="5"/>
        <v>④만기경과 후 7~12개월</v>
      </c>
    </row>
    <row r="134" spans="1:17" ht="13.95" customHeight="1" outlineLevel="3" x14ac:dyDescent="0.25">
      <c r="A134" t="s">
        <v>1</v>
      </c>
      <c r="B134" s="2">
        <v>40595</v>
      </c>
      <c r="C134" s="2">
        <v>40595</v>
      </c>
      <c r="D134" s="2">
        <v>40640</v>
      </c>
      <c r="E134" s="2"/>
      <c r="F134" t="s">
        <v>2</v>
      </c>
      <c r="G134" s="3">
        <v>45</v>
      </c>
      <c r="H134" s="4">
        <v>36445.199999999997</v>
      </c>
      <c r="I134" t="s">
        <v>3</v>
      </c>
      <c r="J134" s="6">
        <v>1400000009</v>
      </c>
      <c r="K134" t="s">
        <v>0</v>
      </c>
      <c r="L134" s="3">
        <v>3445</v>
      </c>
      <c r="M134" s="3">
        <v>3414</v>
      </c>
      <c r="N134" t="s">
        <v>4</v>
      </c>
      <c r="O134" s="6">
        <v>1032</v>
      </c>
      <c r="P134" s="12">
        <f t="shared" si="4"/>
        <v>268</v>
      </c>
      <c r="Q134" t="str">
        <f t="shared" si="5"/>
        <v>④만기경과 후 7~12개월</v>
      </c>
    </row>
    <row r="135" spans="1:17" ht="13.95" customHeight="1" outlineLevel="3" x14ac:dyDescent="0.25">
      <c r="A135" t="s">
        <v>1</v>
      </c>
      <c r="B135" s="2">
        <v>40564</v>
      </c>
      <c r="C135" s="2">
        <v>40564</v>
      </c>
      <c r="D135" s="2">
        <v>40609</v>
      </c>
      <c r="E135" s="2"/>
      <c r="F135" t="s">
        <v>2</v>
      </c>
      <c r="G135" s="3">
        <v>45</v>
      </c>
      <c r="H135" s="4">
        <v>40984.800000000003</v>
      </c>
      <c r="I135" t="s">
        <v>3</v>
      </c>
      <c r="J135" s="6">
        <v>1400000002</v>
      </c>
      <c r="K135" t="s">
        <v>0</v>
      </c>
      <c r="L135" s="3">
        <v>3476</v>
      </c>
      <c r="M135" s="3">
        <v>3445</v>
      </c>
      <c r="N135" t="s">
        <v>4</v>
      </c>
      <c r="O135" s="6">
        <v>1032</v>
      </c>
      <c r="P135" s="12">
        <f t="shared" si="4"/>
        <v>299</v>
      </c>
      <c r="Q135" t="str">
        <f t="shared" si="5"/>
        <v>④만기경과 후 7~12개월</v>
      </c>
    </row>
    <row r="136" spans="1:17" ht="13.95" customHeight="1" outlineLevel="3" x14ac:dyDescent="0.25">
      <c r="A136" t="s">
        <v>1</v>
      </c>
      <c r="B136" s="2">
        <v>40564</v>
      </c>
      <c r="C136" s="2">
        <v>40564</v>
      </c>
      <c r="D136" s="2">
        <v>40609</v>
      </c>
      <c r="E136" s="2"/>
      <c r="F136" t="s">
        <v>2</v>
      </c>
      <c r="G136" s="3">
        <v>45</v>
      </c>
      <c r="H136" s="4">
        <v>23263.8</v>
      </c>
      <c r="I136" t="s">
        <v>3</v>
      </c>
      <c r="J136" s="6">
        <v>1400000001</v>
      </c>
      <c r="K136" t="s">
        <v>0</v>
      </c>
      <c r="L136" s="3">
        <v>3476</v>
      </c>
      <c r="M136" s="3">
        <v>3445</v>
      </c>
      <c r="N136" t="s">
        <v>4</v>
      </c>
      <c r="O136" s="6">
        <v>1032</v>
      </c>
      <c r="P136" s="12">
        <f t="shared" si="4"/>
        <v>299</v>
      </c>
      <c r="Q136" t="str">
        <f t="shared" si="5"/>
        <v>④만기경과 후 7~12개월</v>
      </c>
    </row>
    <row r="137" spans="1:17" ht="13.95" customHeight="1" outlineLevel="3" x14ac:dyDescent="0.25">
      <c r="A137" t="s">
        <v>1</v>
      </c>
      <c r="B137" s="2">
        <v>40564</v>
      </c>
      <c r="C137" s="2">
        <v>40564</v>
      </c>
      <c r="D137" s="2">
        <v>40609</v>
      </c>
      <c r="E137" s="2"/>
      <c r="F137" t="s">
        <v>2</v>
      </c>
      <c r="G137" s="3">
        <v>45</v>
      </c>
      <c r="H137" s="4">
        <v>30371</v>
      </c>
      <c r="I137" t="s">
        <v>3</v>
      </c>
      <c r="J137" s="6">
        <v>1400000000</v>
      </c>
      <c r="K137" t="s">
        <v>0</v>
      </c>
      <c r="L137" s="3">
        <v>3476</v>
      </c>
      <c r="M137" s="3">
        <v>3445</v>
      </c>
      <c r="N137" t="s">
        <v>4</v>
      </c>
      <c r="O137" s="6">
        <v>1032</v>
      </c>
      <c r="P137" s="12">
        <f t="shared" si="4"/>
        <v>299</v>
      </c>
      <c r="Q137" t="str">
        <f t="shared" si="5"/>
        <v>④만기경과 후 7~12개월</v>
      </c>
    </row>
    <row r="138" spans="1:17" ht="13.95" customHeight="1" outlineLevel="3" x14ac:dyDescent="0.25">
      <c r="A138" t="s">
        <v>1</v>
      </c>
      <c r="B138" s="2">
        <v>40514</v>
      </c>
      <c r="C138" s="2">
        <v>40514</v>
      </c>
      <c r="D138" s="2">
        <v>40559</v>
      </c>
      <c r="E138" s="2"/>
      <c r="F138" t="s">
        <v>2</v>
      </c>
      <c r="G138" s="3">
        <v>45</v>
      </c>
      <c r="H138" s="4">
        <v>44400.2</v>
      </c>
      <c r="I138" t="s">
        <v>3</v>
      </c>
      <c r="J138" s="6">
        <v>1400000342</v>
      </c>
      <c r="K138" t="s">
        <v>0</v>
      </c>
      <c r="L138" s="3">
        <v>3526</v>
      </c>
      <c r="M138" s="3">
        <v>3495</v>
      </c>
      <c r="N138" t="s">
        <v>4</v>
      </c>
      <c r="O138" s="6">
        <v>1032</v>
      </c>
      <c r="P138" s="12">
        <f t="shared" si="4"/>
        <v>349</v>
      </c>
      <c r="Q138" t="str">
        <f t="shared" si="5"/>
        <v>④만기경과 후 7~12개월</v>
      </c>
    </row>
    <row r="139" spans="1:17" ht="13.95" customHeight="1" outlineLevel="3" x14ac:dyDescent="0.25">
      <c r="A139" t="s">
        <v>1</v>
      </c>
      <c r="B139" s="2">
        <v>40514</v>
      </c>
      <c r="C139" s="2">
        <v>40514</v>
      </c>
      <c r="D139" s="2">
        <v>40559</v>
      </c>
      <c r="E139" s="2"/>
      <c r="F139" t="s">
        <v>2</v>
      </c>
      <c r="G139" s="3">
        <v>45</v>
      </c>
      <c r="H139" s="4">
        <v>29910.6</v>
      </c>
      <c r="I139" t="s">
        <v>3</v>
      </c>
      <c r="J139" s="6">
        <v>1400000341</v>
      </c>
      <c r="K139" t="s">
        <v>0</v>
      </c>
      <c r="L139" s="3">
        <v>3526</v>
      </c>
      <c r="M139" s="3">
        <v>3495</v>
      </c>
      <c r="N139" t="s">
        <v>4</v>
      </c>
      <c r="O139" s="6">
        <v>1032</v>
      </c>
      <c r="P139" s="12">
        <f t="shared" si="4"/>
        <v>349</v>
      </c>
      <c r="Q139" t="str">
        <f t="shared" si="5"/>
        <v>④만기경과 후 7~12개월</v>
      </c>
    </row>
    <row r="140" spans="1:17" ht="13.95" customHeight="1" outlineLevel="3" x14ac:dyDescent="0.25">
      <c r="A140" t="s">
        <v>1</v>
      </c>
      <c r="B140" s="2">
        <v>40514</v>
      </c>
      <c r="C140" s="2">
        <v>40514</v>
      </c>
      <c r="D140" s="2">
        <v>40559</v>
      </c>
      <c r="E140" s="2"/>
      <c r="F140" t="s">
        <v>2</v>
      </c>
      <c r="G140" s="3">
        <v>45</v>
      </c>
      <c r="H140" s="4">
        <v>33408.1</v>
      </c>
      <c r="I140" t="s">
        <v>3</v>
      </c>
      <c r="J140" s="6">
        <v>1400000340</v>
      </c>
      <c r="K140" t="s">
        <v>0</v>
      </c>
      <c r="L140" s="3">
        <v>3526</v>
      </c>
      <c r="M140" s="3">
        <v>3495</v>
      </c>
      <c r="N140" t="s">
        <v>4</v>
      </c>
      <c r="O140" s="6">
        <v>1032</v>
      </c>
      <c r="P140" s="12">
        <f t="shared" si="4"/>
        <v>349</v>
      </c>
      <c r="Q140" t="str">
        <f t="shared" si="5"/>
        <v>④만기경과 후 7~12개월</v>
      </c>
    </row>
    <row r="141" spans="1:17" ht="13.95" customHeight="1" outlineLevel="3" x14ac:dyDescent="0.25">
      <c r="A141" t="s">
        <v>1</v>
      </c>
      <c r="B141" s="2">
        <v>40484</v>
      </c>
      <c r="C141" s="2">
        <v>40484</v>
      </c>
      <c r="D141" s="2">
        <v>40529</v>
      </c>
      <c r="E141" s="2"/>
      <c r="F141" t="s">
        <v>2</v>
      </c>
      <c r="G141" s="3">
        <v>45</v>
      </c>
      <c r="H141" s="4">
        <v>47815.6</v>
      </c>
      <c r="I141" t="s">
        <v>3</v>
      </c>
      <c r="J141" s="6">
        <v>1400000304</v>
      </c>
      <c r="K141" t="s">
        <v>0</v>
      </c>
      <c r="L141" s="3">
        <v>3556</v>
      </c>
      <c r="M141" s="3">
        <v>3525</v>
      </c>
      <c r="N141" t="s">
        <v>4</v>
      </c>
      <c r="O141" s="6">
        <v>1032</v>
      </c>
      <c r="P141" s="12">
        <f t="shared" si="4"/>
        <v>379</v>
      </c>
      <c r="Q141" t="str">
        <f t="shared" si="5"/>
        <v>⑤만기경과 후 12개월 초과</v>
      </c>
    </row>
    <row r="142" spans="1:17" ht="13.95" customHeight="1" outlineLevel="3" x14ac:dyDescent="0.25">
      <c r="A142" t="s">
        <v>1</v>
      </c>
      <c r="B142" s="2">
        <v>40484</v>
      </c>
      <c r="C142" s="2">
        <v>40484</v>
      </c>
      <c r="D142" s="2">
        <v>40529</v>
      </c>
      <c r="E142" s="2"/>
      <c r="F142" t="s">
        <v>2</v>
      </c>
      <c r="G142" s="3">
        <v>45</v>
      </c>
      <c r="H142" s="4">
        <v>33234</v>
      </c>
      <c r="I142" t="s">
        <v>3</v>
      </c>
      <c r="J142" s="6">
        <v>1400000303</v>
      </c>
      <c r="K142" t="s">
        <v>0</v>
      </c>
      <c r="L142" s="3">
        <v>3556</v>
      </c>
      <c r="M142" s="3">
        <v>3525</v>
      </c>
      <c r="N142" t="s">
        <v>4</v>
      </c>
      <c r="O142" s="6">
        <v>1032</v>
      </c>
      <c r="P142" s="12">
        <f t="shared" si="4"/>
        <v>379</v>
      </c>
      <c r="Q142" t="str">
        <f t="shared" si="5"/>
        <v>⑤만기경과 후 12개월 초과</v>
      </c>
    </row>
    <row r="143" spans="1:17" ht="13.95" customHeight="1" outlineLevel="3" x14ac:dyDescent="0.25">
      <c r="A143" t="s">
        <v>1</v>
      </c>
      <c r="B143" s="2">
        <v>40484</v>
      </c>
      <c r="C143" s="2">
        <v>40484</v>
      </c>
      <c r="D143" s="2">
        <v>40529</v>
      </c>
      <c r="E143" s="2"/>
      <c r="F143" t="s">
        <v>2</v>
      </c>
      <c r="G143" s="3">
        <v>45</v>
      </c>
      <c r="H143" s="4">
        <v>27333.9</v>
      </c>
      <c r="I143" t="s">
        <v>3</v>
      </c>
      <c r="J143" s="6">
        <v>1400000302</v>
      </c>
      <c r="K143" t="s">
        <v>0</v>
      </c>
      <c r="L143" s="3">
        <v>3556</v>
      </c>
      <c r="M143" s="3">
        <v>3525</v>
      </c>
      <c r="N143" t="s">
        <v>4</v>
      </c>
      <c r="O143" s="6">
        <v>1032</v>
      </c>
      <c r="P143" s="12">
        <f t="shared" si="4"/>
        <v>379</v>
      </c>
      <c r="Q143" t="str">
        <f t="shared" si="5"/>
        <v>⑤만기경과 후 12개월 초과</v>
      </c>
    </row>
    <row r="144" spans="1:17" ht="13.95" customHeight="1" outlineLevel="3" x14ac:dyDescent="0.25">
      <c r="A144" t="s">
        <v>1</v>
      </c>
      <c r="B144" s="2">
        <v>40459</v>
      </c>
      <c r="C144" s="2">
        <v>40459</v>
      </c>
      <c r="D144" s="2">
        <v>40504</v>
      </c>
      <c r="E144" s="2"/>
      <c r="F144" t="s">
        <v>2</v>
      </c>
      <c r="G144" s="3">
        <v>45</v>
      </c>
      <c r="H144" s="4">
        <v>51231</v>
      </c>
      <c r="I144" t="s">
        <v>3</v>
      </c>
      <c r="J144" s="6">
        <v>1400000273</v>
      </c>
      <c r="K144" t="s">
        <v>0</v>
      </c>
      <c r="L144" s="3">
        <v>3581</v>
      </c>
      <c r="M144" s="3">
        <v>3550</v>
      </c>
      <c r="N144" t="s">
        <v>4</v>
      </c>
      <c r="O144" s="6">
        <v>1032</v>
      </c>
      <c r="P144" s="12">
        <f t="shared" si="4"/>
        <v>404</v>
      </c>
      <c r="Q144" t="str">
        <f t="shared" si="5"/>
        <v>⑤만기경과 후 12개월 초과</v>
      </c>
    </row>
    <row r="145" spans="1:17" ht="13.95" customHeight="1" outlineLevel="3" x14ac:dyDescent="0.25">
      <c r="A145" t="s">
        <v>1</v>
      </c>
      <c r="B145" s="2">
        <v>40459</v>
      </c>
      <c r="C145" s="2">
        <v>40459</v>
      </c>
      <c r="D145" s="2">
        <v>40504</v>
      </c>
      <c r="E145" s="2"/>
      <c r="F145" t="s">
        <v>2</v>
      </c>
      <c r="G145" s="3">
        <v>45</v>
      </c>
      <c r="H145" s="4">
        <v>36557.4</v>
      </c>
      <c r="I145" t="s">
        <v>3</v>
      </c>
      <c r="J145" s="6">
        <v>1400000272</v>
      </c>
      <c r="K145" t="s">
        <v>0</v>
      </c>
      <c r="L145" s="3">
        <v>3581</v>
      </c>
      <c r="M145" s="3">
        <v>3550</v>
      </c>
      <c r="N145" t="s">
        <v>4</v>
      </c>
      <c r="O145" s="6">
        <v>1032</v>
      </c>
      <c r="P145" s="12">
        <f t="shared" si="4"/>
        <v>404</v>
      </c>
      <c r="Q145" t="str">
        <f t="shared" si="5"/>
        <v>⑤만기경과 후 12개월 초과</v>
      </c>
    </row>
    <row r="146" spans="1:17" ht="13.95" customHeight="1" outlineLevel="3" x14ac:dyDescent="0.25">
      <c r="A146" t="s">
        <v>1</v>
      </c>
      <c r="B146" s="2">
        <v>40459</v>
      </c>
      <c r="C146" s="2">
        <v>40459</v>
      </c>
      <c r="D146" s="2">
        <v>40504</v>
      </c>
      <c r="E146" s="2"/>
      <c r="F146" t="s">
        <v>2</v>
      </c>
      <c r="G146" s="3">
        <v>45</v>
      </c>
      <c r="H146" s="4">
        <v>21259.7</v>
      </c>
      <c r="I146" t="s">
        <v>3</v>
      </c>
      <c r="J146" s="6">
        <v>1400000271</v>
      </c>
      <c r="K146" t="s">
        <v>0</v>
      </c>
      <c r="L146" s="3">
        <v>3581</v>
      </c>
      <c r="M146" s="3">
        <v>3550</v>
      </c>
      <c r="N146" t="s">
        <v>4</v>
      </c>
      <c r="O146" s="6">
        <v>1032</v>
      </c>
      <c r="P146" s="12">
        <f t="shared" si="4"/>
        <v>404</v>
      </c>
      <c r="Q146" t="str">
        <f t="shared" si="5"/>
        <v>⑤만기경과 후 12개월 초과</v>
      </c>
    </row>
    <row r="147" spans="1:17" ht="13.95" customHeight="1" outlineLevel="3" x14ac:dyDescent="0.25">
      <c r="A147" t="s">
        <v>1</v>
      </c>
      <c r="B147" s="2">
        <v>40428</v>
      </c>
      <c r="C147" s="2">
        <v>40428</v>
      </c>
      <c r="D147" s="2">
        <v>40473</v>
      </c>
      <c r="E147" s="2"/>
      <c r="F147" t="s">
        <v>2</v>
      </c>
      <c r="G147" s="3">
        <v>45</v>
      </c>
      <c r="H147" s="4">
        <v>44400.2</v>
      </c>
      <c r="I147" t="s">
        <v>3</v>
      </c>
      <c r="J147" s="6">
        <v>1400000226</v>
      </c>
      <c r="K147" t="s">
        <v>0</v>
      </c>
      <c r="L147" s="3">
        <v>3612</v>
      </c>
      <c r="M147" s="3">
        <v>3581</v>
      </c>
      <c r="N147" t="s">
        <v>4</v>
      </c>
      <c r="O147" s="6">
        <v>1032</v>
      </c>
      <c r="P147" s="12">
        <f t="shared" si="4"/>
        <v>435</v>
      </c>
      <c r="Q147" t="str">
        <f t="shared" si="5"/>
        <v>⑤만기경과 후 12개월 초과</v>
      </c>
    </row>
    <row r="148" spans="1:17" ht="13.95" customHeight="1" outlineLevel="3" x14ac:dyDescent="0.25">
      <c r="A148" t="s">
        <v>1</v>
      </c>
      <c r="B148" s="2">
        <v>40428</v>
      </c>
      <c r="C148" s="2">
        <v>40428</v>
      </c>
      <c r="D148" s="2">
        <v>40473</v>
      </c>
      <c r="E148" s="2"/>
      <c r="F148" t="s">
        <v>2</v>
      </c>
      <c r="G148" s="3">
        <v>45</v>
      </c>
      <c r="H148" s="4">
        <v>46527.6</v>
      </c>
      <c r="I148" t="s">
        <v>3</v>
      </c>
      <c r="J148" s="6">
        <v>1400000225</v>
      </c>
      <c r="K148" t="s">
        <v>0</v>
      </c>
      <c r="L148" s="3">
        <v>3612</v>
      </c>
      <c r="M148" s="3">
        <v>3581</v>
      </c>
      <c r="N148" t="s">
        <v>4</v>
      </c>
      <c r="O148" s="6">
        <v>1032</v>
      </c>
      <c r="P148" s="12">
        <f t="shared" si="4"/>
        <v>435</v>
      </c>
      <c r="Q148" t="str">
        <f t="shared" si="5"/>
        <v>⑤만기경과 후 12개월 초과</v>
      </c>
    </row>
    <row r="149" spans="1:17" ht="13.95" customHeight="1" outlineLevel="3" x14ac:dyDescent="0.25">
      <c r="A149" t="s">
        <v>1</v>
      </c>
      <c r="B149" s="2">
        <v>40428</v>
      </c>
      <c r="C149" s="2">
        <v>40428</v>
      </c>
      <c r="D149" s="2">
        <v>40473</v>
      </c>
      <c r="E149" s="2"/>
      <c r="F149" t="s">
        <v>2</v>
      </c>
      <c r="G149" s="3">
        <v>45</v>
      </c>
      <c r="H149" s="4">
        <v>18222.599999999999</v>
      </c>
      <c r="I149" t="s">
        <v>3</v>
      </c>
      <c r="J149" s="6">
        <v>1400000224</v>
      </c>
      <c r="K149" t="s">
        <v>0</v>
      </c>
      <c r="L149" s="3">
        <v>3612</v>
      </c>
      <c r="M149" s="3">
        <v>3581</v>
      </c>
      <c r="N149" t="s">
        <v>4</v>
      </c>
      <c r="O149" s="6">
        <v>1032</v>
      </c>
      <c r="P149" s="12">
        <f t="shared" si="4"/>
        <v>435</v>
      </c>
      <c r="Q149" t="str">
        <f t="shared" si="5"/>
        <v>⑤만기경과 후 12개월 초과</v>
      </c>
    </row>
    <row r="150" spans="1:17" ht="13.95" customHeight="1" outlineLevel="3" x14ac:dyDescent="0.25">
      <c r="A150" t="s">
        <v>1</v>
      </c>
      <c r="B150" s="2">
        <v>40406</v>
      </c>
      <c r="C150" s="2">
        <v>40406</v>
      </c>
      <c r="D150" s="2">
        <v>40451</v>
      </c>
      <c r="E150" s="2"/>
      <c r="F150" t="s">
        <v>2</v>
      </c>
      <c r="G150" s="3">
        <v>45</v>
      </c>
      <c r="H150" s="4">
        <v>37569.4</v>
      </c>
      <c r="I150" t="s">
        <v>3</v>
      </c>
      <c r="J150" s="6">
        <v>1400000154</v>
      </c>
      <c r="K150" t="s">
        <v>0</v>
      </c>
      <c r="L150" s="3">
        <v>3634</v>
      </c>
      <c r="M150" s="3">
        <v>3603</v>
      </c>
      <c r="N150" t="s">
        <v>4</v>
      </c>
      <c r="O150" s="6">
        <v>1032</v>
      </c>
      <c r="P150" s="12">
        <f t="shared" si="4"/>
        <v>457</v>
      </c>
      <c r="Q150" t="str">
        <f t="shared" si="5"/>
        <v>⑤만기경과 후 12개월 초과</v>
      </c>
    </row>
    <row r="151" spans="1:17" ht="13.95" customHeight="1" outlineLevel="3" x14ac:dyDescent="0.25">
      <c r="A151" t="s">
        <v>1</v>
      </c>
      <c r="B151" s="2">
        <v>40406</v>
      </c>
      <c r="C151" s="2">
        <v>40406</v>
      </c>
      <c r="D151" s="2">
        <v>40451</v>
      </c>
      <c r="E151" s="2"/>
      <c r="F151" t="s">
        <v>2</v>
      </c>
      <c r="G151" s="3">
        <v>45</v>
      </c>
      <c r="H151" s="4">
        <v>49851</v>
      </c>
      <c r="I151" t="s">
        <v>3</v>
      </c>
      <c r="J151" s="6">
        <v>1400000153</v>
      </c>
      <c r="K151" t="s">
        <v>0</v>
      </c>
      <c r="L151" s="3">
        <v>3634</v>
      </c>
      <c r="M151" s="3">
        <v>3603</v>
      </c>
      <c r="N151" t="s">
        <v>4</v>
      </c>
      <c r="O151" s="6">
        <v>1032</v>
      </c>
      <c r="P151" s="12">
        <f t="shared" si="4"/>
        <v>457</v>
      </c>
      <c r="Q151" t="str">
        <f t="shared" si="5"/>
        <v>⑤만기경과 후 12개월 초과</v>
      </c>
    </row>
    <row r="152" spans="1:17" ht="13.95" customHeight="1" outlineLevel="3" x14ac:dyDescent="0.25">
      <c r="A152" t="s">
        <v>1</v>
      </c>
      <c r="B152" s="2">
        <v>40406</v>
      </c>
      <c r="C152" s="2">
        <v>40406</v>
      </c>
      <c r="D152" s="2">
        <v>40451</v>
      </c>
      <c r="E152" s="2"/>
      <c r="F152" t="s">
        <v>2</v>
      </c>
      <c r="G152" s="3">
        <v>45</v>
      </c>
      <c r="H152" s="4">
        <v>15185.5</v>
      </c>
      <c r="I152" t="s">
        <v>3</v>
      </c>
      <c r="J152" s="6">
        <v>1400000152</v>
      </c>
      <c r="K152" t="s">
        <v>0</v>
      </c>
      <c r="L152" s="3">
        <v>3634</v>
      </c>
      <c r="M152" s="3">
        <v>3603</v>
      </c>
      <c r="N152" t="s">
        <v>4</v>
      </c>
      <c r="O152" s="6">
        <v>1032</v>
      </c>
      <c r="P152" s="12">
        <f t="shared" si="4"/>
        <v>457</v>
      </c>
      <c r="Q152" t="str">
        <f t="shared" si="5"/>
        <v>⑤만기경과 후 12개월 초과</v>
      </c>
    </row>
    <row r="153" spans="1:17" ht="13.95" customHeight="1" outlineLevel="3" x14ac:dyDescent="0.25">
      <c r="A153" t="s">
        <v>1</v>
      </c>
      <c r="B153" s="2">
        <v>40364</v>
      </c>
      <c r="C153" s="2">
        <v>40364</v>
      </c>
      <c r="D153" s="2">
        <v>40409</v>
      </c>
      <c r="E153" s="2"/>
      <c r="F153" t="s">
        <v>2</v>
      </c>
      <c r="G153" s="3">
        <v>45</v>
      </c>
      <c r="H153" s="4">
        <v>23907.8</v>
      </c>
      <c r="I153" t="s">
        <v>3</v>
      </c>
      <c r="J153" s="6">
        <v>1400000130</v>
      </c>
      <c r="K153" t="s">
        <v>0</v>
      </c>
      <c r="L153" s="3">
        <v>3676</v>
      </c>
      <c r="M153" s="3">
        <v>3645</v>
      </c>
      <c r="N153" t="s">
        <v>4</v>
      </c>
      <c r="O153" s="6">
        <v>1032</v>
      </c>
      <c r="P153" s="12">
        <f t="shared" si="4"/>
        <v>499</v>
      </c>
      <c r="Q153" t="str">
        <f t="shared" si="5"/>
        <v>⑤만기경과 후 12개월 초과</v>
      </c>
    </row>
    <row r="154" spans="1:17" ht="13.95" customHeight="1" outlineLevel="3" x14ac:dyDescent="0.25">
      <c r="A154" t="s">
        <v>1</v>
      </c>
      <c r="B154" s="2">
        <v>40364</v>
      </c>
      <c r="C154" s="2">
        <v>40364</v>
      </c>
      <c r="D154" s="2">
        <v>40409</v>
      </c>
      <c r="E154" s="2"/>
      <c r="F154" t="s">
        <v>2</v>
      </c>
      <c r="G154" s="3">
        <v>45</v>
      </c>
      <c r="H154" s="4">
        <v>49851</v>
      </c>
      <c r="I154" t="s">
        <v>3</v>
      </c>
      <c r="J154" s="6">
        <v>1400000129</v>
      </c>
      <c r="K154" t="s">
        <v>0</v>
      </c>
      <c r="L154" s="3">
        <v>3676</v>
      </c>
      <c r="M154" s="3">
        <v>3645</v>
      </c>
      <c r="N154" t="s">
        <v>4</v>
      </c>
      <c r="O154" s="6">
        <v>1032</v>
      </c>
      <c r="P154" s="12">
        <f t="shared" si="4"/>
        <v>499</v>
      </c>
      <c r="Q154" t="str">
        <f t="shared" si="5"/>
        <v>⑤만기경과 후 12개월 초과</v>
      </c>
    </row>
    <row r="155" spans="1:17" ht="13.95" customHeight="1" outlineLevel="3" x14ac:dyDescent="0.25">
      <c r="A155" t="s">
        <v>1</v>
      </c>
      <c r="B155" s="2">
        <v>40364</v>
      </c>
      <c r="C155" s="2">
        <v>40364</v>
      </c>
      <c r="D155" s="2">
        <v>40409</v>
      </c>
      <c r="E155" s="2"/>
      <c r="F155" t="s">
        <v>2</v>
      </c>
      <c r="G155" s="3">
        <v>45</v>
      </c>
      <c r="H155" s="4">
        <v>18222.599999999999</v>
      </c>
      <c r="I155" t="s">
        <v>3</v>
      </c>
      <c r="J155" s="6">
        <v>1400000128</v>
      </c>
      <c r="K155" t="s">
        <v>0</v>
      </c>
      <c r="L155" s="3">
        <v>3676</v>
      </c>
      <c r="M155" s="3">
        <v>3645</v>
      </c>
      <c r="N155" t="s">
        <v>4</v>
      </c>
      <c r="O155" s="6">
        <v>1032</v>
      </c>
      <c r="P155" s="12">
        <f t="shared" si="4"/>
        <v>499</v>
      </c>
      <c r="Q155" t="str">
        <f t="shared" si="5"/>
        <v>⑤만기경과 후 12개월 초과</v>
      </c>
    </row>
    <row r="156" spans="1:17" ht="13.95" customHeight="1" outlineLevel="3" x14ac:dyDescent="0.25">
      <c r="A156" t="s">
        <v>1</v>
      </c>
      <c r="B156" s="2">
        <v>40331</v>
      </c>
      <c r="C156" s="2">
        <v>40331</v>
      </c>
      <c r="D156" s="2">
        <v>40376</v>
      </c>
      <c r="E156" s="2"/>
      <c r="F156" t="s">
        <v>2</v>
      </c>
      <c r="G156" s="3">
        <v>45</v>
      </c>
      <c r="H156" s="4">
        <v>17077</v>
      </c>
      <c r="I156" t="s">
        <v>3</v>
      </c>
      <c r="J156" s="6">
        <v>1400000047</v>
      </c>
      <c r="K156" t="s">
        <v>0</v>
      </c>
      <c r="L156" s="3">
        <v>3709</v>
      </c>
      <c r="M156" s="3">
        <v>3678</v>
      </c>
      <c r="N156" t="s">
        <v>4</v>
      </c>
      <c r="O156" s="6">
        <v>1032</v>
      </c>
      <c r="P156" s="12">
        <f t="shared" si="4"/>
        <v>532</v>
      </c>
      <c r="Q156" t="str">
        <f t="shared" si="5"/>
        <v>⑤만기경과 후 12개월 초과</v>
      </c>
    </row>
    <row r="157" spans="1:17" ht="13.95" customHeight="1" outlineLevel="3" x14ac:dyDescent="0.25">
      <c r="A157" t="s">
        <v>1</v>
      </c>
      <c r="B157" s="2">
        <v>40331</v>
      </c>
      <c r="C157" s="2">
        <v>40331</v>
      </c>
      <c r="D157" s="2">
        <v>40376</v>
      </c>
      <c r="E157" s="2"/>
      <c r="F157" t="s">
        <v>2</v>
      </c>
      <c r="G157" s="3">
        <v>45</v>
      </c>
      <c r="H157" s="4">
        <v>53174.400000000001</v>
      </c>
      <c r="I157" t="s">
        <v>3</v>
      </c>
      <c r="J157" s="6">
        <v>1400000046</v>
      </c>
      <c r="K157" t="s">
        <v>0</v>
      </c>
      <c r="L157" s="3">
        <v>3709</v>
      </c>
      <c r="M157" s="3">
        <v>3678</v>
      </c>
      <c r="N157" t="s">
        <v>4</v>
      </c>
      <c r="O157" s="6">
        <v>1032</v>
      </c>
      <c r="P157" s="12">
        <f t="shared" si="4"/>
        <v>532</v>
      </c>
      <c r="Q157" t="str">
        <f t="shared" si="5"/>
        <v>⑤만기경과 후 12개월 초과</v>
      </c>
    </row>
    <row r="158" spans="1:17" ht="13.95" customHeight="1" outlineLevel="3" x14ac:dyDescent="0.25">
      <c r="A158" t="s">
        <v>1</v>
      </c>
      <c r="B158" s="2">
        <v>40331</v>
      </c>
      <c r="C158" s="2">
        <v>40331</v>
      </c>
      <c r="D158" s="2">
        <v>40376</v>
      </c>
      <c r="E158" s="2"/>
      <c r="F158" t="s">
        <v>2</v>
      </c>
      <c r="G158" s="3">
        <v>45</v>
      </c>
      <c r="H158" s="4">
        <v>27333.9</v>
      </c>
      <c r="I158" t="s">
        <v>3</v>
      </c>
      <c r="J158" s="6">
        <v>1400000045</v>
      </c>
      <c r="K158" t="s">
        <v>0</v>
      </c>
      <c r="L158" s="3">
        <v>3709</v>
      </c>
      <c r="M158" s="3">
        <v>3678</v>
      </c>
      <c r="N158" t="s">
        <v>4</v>
      </c>
      <c r="O158" s="6">
        <v>1032</v>
      </c>
      <c r="P158" s="12">
        <f t="shared" si="4"/>
        <v>532</v>
      </c>
      <c r="Q158" t="str">
        <f t="shared" si="5"/>
        <v>⑤만기경과 후 12개월 초과</v>
      </c>
    </row>
    <row r="159" spans="1:17" ht="13.95" customHeight="1" outlineLevel="3" x14ac:dyDescent="0.25">
      <c r="A159" t="s">
        <v>1</v>
      </c>
      <c r="B159" s="2">
        <v>40301</v>
      </c>
      <c r="C159" s="2">
        <v>40301</v>
      </c>
      <c r="D159" s="2">
        <v>40346</v>
      </c>
      <c r="E159" s="2"/>
      <c r="F159" t="s">
        <v>2</v>
      </c>
      <c r="G159" s="3">
        <v>45</v>
      </c>
      <c r="H159" s="4">
        <v>20492.400000000001</v>
      </c>
      <c r="I159" t="s">
        <v>3</v>
      </c>
      <c r="J159" s="6">
        <v>1400000038</v>
      </c>
      <c r="K159" t="s">
        <v>0</v>
      </c>
      <c r="L159" s="3">
        <v>3739</v>
      </c>
      <c r="M159" s="3">
        <v>3708</v>
      </c>
      <c r="N159" t="s">
        <v>4</v>
      </c>
      <c r="O159" s="6">
        <v>1032</v>
      </c>
      <c r="P159" s="12">
        <f t="shared" si="4"/>
        <v>562</v>
      </c>
      <c r="Q159" t="str">
        <f t="shared" si="5"/>
        <v>⑤만기경과 후 12개월 초과</v>
      </c>
    </row>
    <row r="160" spans="1:17" ht="13.95" customHeight="1" outlineLevel="3" x14ac:dyDescent="0.25">
      <c r="A160" t="s">
        <v>1</v>
      </c>
      <c r="B160" s="2">
        <v>40301</v>
      </c>
      <c r="C160" s="2">
        <v>40301</v>
      </c>
      <c r="D160" s="2">
        <v>40346</v>
      </c>
      <c r="E160" s="2"/>
      <c r="F160" t="s">
        <v>2</v>
      </c>
      <c r="G160" s="3">
        <v>45</v>
      </c>
      <c r="H160" s="4">
        <v>43204.2</v>
      </c>
      <c r="I160" t="s">
        <v>3</v>
      </c>
      <c r="J160" s="6">
        <v>1400000037</v>
      </c>
      <c r="K160" t="s">
        <v>0</v>
      </c>
      <c r="L160" s="3">
        <v>3739</v>
      </c>
      <c r="M160" s="3">
        <v>3708</v>
      </c>
      <c r="N160" t="s">
        <v>4</v>
      </c>
      <c r="O160" s="6">
        <v>1032</v>
      </c>
      <c r="P160" s="12">
        <f t="shared" si="4"/>
        <v>562</v>
      </c>
      <c r="Q160" t="str">
        <f t="shared" si="5"/>
        <v>⑤만기경과 후 12개월 초과</v>
      </c>
    </row>
    <row r="161" spans="1:17" ht="13.95" customHeight="1" outlineLevel="3" x14ac:dyDescent="0.25">
      <c r="A161" t="s">
        <v>1</v>
      </c>
      <c r="B161" s="2">
        <v>40301</v>
      </c>
      <c r="C161" s="2">
        <v>40301</v>
      </c>
      <c r="D161" s="2">
        <v>40346</v>
      </c>
      <c r="E161" s="2"/>
      <c r="F161" t="s">
        <v>2</v>
      </c>
      <c r="G161" s="3">
        <v>45</v>
      </c>
      <c r="H161" s="4">
        <v>36445.199999999997</v>
      </c>
      <c r="I161" t="s">
        <v>3</v>
      </c>
      <c r="J161" s="6">
        <v>1400000036</v>
      </c>
      <c r="K161" t="s">
        <v>0</v>
      </c>
      <c r="L161" s="3">
        <v>3739</v>
      </c>
      <c r="M161" s="3">
        <v>3708</v>
      </c>
      <c r="N161" t="s">
        <v>4</v>
      </c>
      <c r="O161" s="6">
        <v>1032</v>
      </c>
      <c r="P161" s="12">
        <f t="shared" si="4"/>
        <v>562</v>
      </c>
      <c r="Q161" t="str">
        <f t="shared" si="5"/>
        <v>⑤만기경과 후 12개월 초과</v>
      </c>
    </row>
    <row r="162" spans="1:17" ht="13.95" customHeight="1" outlineLevel="3" x14ac:dyDescent="0.25">
      <c r="A162" t="s">
        <v>1</v>
      </c>
      <c r="B162" s="2">
        <v>40274</v>
      </c>
      <c r="C162" s="2">
        <v>40274</v>
      </c>
      <c r="D162" s="2">
        <v>40319</v>
      </c>
      <c r="E162" s="2"/>
      <c r="F162" t="s">
        <v>2</v>
      </c>
      <c r="G162" s="3">
        <v>45</v>
      </c>
      <c r="H162" s="4">
        <v>23907.8</v>
      </c>
      <c r="I162" t="s">
        <v>3</v>
      </c>
      <c r="J162" s="6">
        <v>1400000029</v>
      </c>
      <c r="K162" t="s">
        <v>0</v>
      </c>
      <c r="L162" s="3">
        <v>3766</v>
      </c>
      <c r="M162" s="3">
        <v>3735</v>
      </c>
      <c r="N162" t="s">
        <v>4</v>
      </c>
      <c r="O162" s="6">
        <v>1032</v>
      </c>
      <c r="P162" s="12">
        <f t="shared" si="4"/>
        <v>589</v>
      </c>
      <c r="Q162" t="str">
        <f t="shared" si="5"/>
        <v>⑤만기경과 후 12개월 초과</v>
      </c>
    </row>
    <row r="163" spans="1:17" ht="13.95" customHeight="1" outlineLevel="3" x14ac:dyDescent="0.25">
      <c r="A163" t="s">
        <v>1</v>
      </c>
      <c r="B163" s="2">
        <v>40274</v>
      </c>
      <c r="C163" s="2">
        <v>40274</v>
      </c>
      <c r="D163" s="2">
        <v>40319</v>
      </c>
      <c r="E163" s="2"/>
      <c r="F163" t="s">
        <v>2</v>
      </c>
      <c r="G163" s="3">
        <v>45</v>
      </c>
      <c r="H163" s="4">
        <v>36557.4</v>
      </c>
      <c r="I163" t="s">
        <v>3</v>
      </c>
      <c r="J163" s="6">
        <v>1400000028</v>
      </c>
      <c r="K163" t="s">
        <v>0</v>
      </c>
      <c r="L163" s="3">
        <v>3766</v>
      </c>
      <c r="M163" s="3">
        <v>3735</v>
      </c>
      <c r="N163" t="s">
        <v>4</v>
      </c>
      <c r="O163" s="6">
        <v>1032</v>
      </c>
      <c r="P163" s="12">
        <f t="shared" si="4"/>
        <v>589</v>
      </c>
      <c r="Q163" t="str">
        <f t="shared" si="5"/>
        <v>⑤만기경과 후 12개월 초과</v>
      </c>
    </row>
    <row r="164" spans="1:17" ht="13.95" customHeight="1" outlineLevel="3" x14ac:dyDescent="0.25">
      <c r="A164" t="s">
        <v>1</v>
      </c>
      <c r="B164" s="2">
        <v>40274</v>
      </c>
      <c r="C164" s="2">
        <v>40274</v>
      </c>
      <c r="D164" s="2">
        <v>40319</v>
      </c>
      <c r="E164" s="2"/>
      <c r="F164" t="s">
        <v>2</v>
      </c>
      <c r="G164" s="3">
        <v>45</v>
      </c>
      <c r="H164" s="4">
        <v>36445.199999999997</v>
      </c>
      <c r="I164" t="s">
        <v>3</v>
      </c>
      <c r="J164" s="6">
        <v>1400000027</v>
      </c>
      <c r="K164" t="s">
        <v>0</v>
      </c>
      <c r="L164" s="3">
        <v>3766</v>
      </c>
      <c r="M164" s="3">
        <v>3735</v>
      </c>
      <c r="N164" t="s">
        <v>4</v>
      </c>
      <c r="O164" s="6">
        <v>1032</v>
      </c>
      <c r="P164" s="12">
        <f t="shared" si="4"/>
        <v>589</v>
      </c>
      <c r="Q164" t="str">
        <f t="shared" si="5"/>
        <v>⑤만기경과 후 12개월 초과</v>
      </c>
    </row>
    <row r="165" spans="1:17" ht="13.95" customHeight="1" outlineLevel="3" x14ac:dyDescent="0.25">
      <c r="A165" t="s">
        <v>1</v>
      </c>
      <c r="B165" s="2">
        <v>40238</v>
      </c>
      <c r="C165" s="2">
        <v>40238</v>
      </c>
      <c r="D165" s="2">
        <v>40283</v>
      </c>
      <c r="E165" s="2"/>
      <c r="F165" t="s">
        <v>2</v>
      </c>
      <c r="G165" s="3">
        <v>45</v>
      </c>
      <c r="H165" s="4">
        <v>30738.6</v>
      </c>
      <c r="I165" t="s">
        <v>3</v>
      </c>
      <c r="J165" s="6">
        <v>1400000020</v>
      </c>
      <c r="K165" t="s">
        <v>0</v>
      </c>
      <c r="L165" s="3">
        <v>3802</v>
      </c>
      <c r="M165" s="3">
        <v>3771</v>
      </c>
      <c r="N165" t="s">
        <v>4</v>
      </c>
      <c r="O165" s="6">
        <v>1032</v>
      </c>
      <c r="P165" s="12">
        <f t="shared" si="4"/>
        <v>625</v>
      </c>
      <c r="Q165" t="str">
        <f t="shared" si="5"/>
        <v>⑤만기경과 후 12개월 초과</v>
      </c>
    </row>
    <row r="166" spans="1:17" ht="13.95" customHeight="1" outlineLevel="3" x14ac:dyDescent="0.25">
      <c r="A166" t="s">
        <v>1</v>
      </c>
      <c r="B166" s="2">
        <v>40238</v>
      </c>
      <c r="C166" s="2">
        <v>40238</v>
      </c>
      <c r="D166" s="2">
        <v>40283</v>
      </c>
      <c r="E166" s="2"/>
      <c r="F166" t="s">
        <v>2</v>
      </c>
      <c r="G166" s="3">
        <v>45</v>
      </c>
      <c r="H166" s="4">
        <v>29910.6</v>
      </c>
      <c r="I166" t="s">
        <v>3</v>
      </c>
      <c r="J166" s="6">
        <v>1400000019</v>
      </c>
      <c r="K166" t="s">
        <v>0</v>
      </c>
      <c r="L166" s="3">
        <v>3802</v>
      </c>
      <c r="M166" s="3">
        <v>3771</v>
      </c>
      <c r="N166" t="s">
        <v>4</v>
      </c>
      <c r="O166" s="6">
        <v>1032</v>
      </c>
      <c r="P166" s="12">
        <f t="shared" si="4"/>
        <v>625</v>
      </c>
      <c r="Q166" t="str">
        <f t="shared" si="5"/>
        <v>⑤만기경과 후 12개월 초과</v>
      </c>
    </row>
    <row r="167" spans="1:17" ht="13.95" customHeight="1" outlineLevel="3" x14ac:dyDescent="0.25">
      <c r="A167" t="s">
        <v>1</v>
      </c>
      <c r="B167" s="2">
        <v>40238</v>
      </c>
      <c r="C167" s="2">
        <v>40238</v>
      </c>
      <c r="D167" s="2">
        <v>40283</v>
      </c>
      <c r="E167" s="2"/>
      <c r="F167" t="s">
        <v>2</v>
      </c>
      <c r="G167" s="3">
        <v>45</v>
      </c>
      <c r="H167" s="4">
        <v>45556.5</v>
      </c>
      <c r="I167" t="s">
        <v>3</v>
      </c>
      <c r="J167" s="6">
        <v>1400000018</v>
      </c>
      <c r="K167" t="s">
        <v>0</v>
      </c>
      <c r="L167" s="3">
        <v>3802</v>
      </c>
      <c r="M167" s="3">
        <v>3771</v>
      </c>
      <c r="N167" t="s">
        <v>4</v>
      </c>
      <c r="O167" s="6">
        <v>1032</v>
      </c>
      <c r="P167" s="12">
        <f t="shared" si="4"/>
        <v>625</v>
      </c>
      <c r="Q167" t="str">
        <f t="shared" si="5"/>
        <v>⑤만기경과 후 12개월 초과</v>
      </c>
    </row>
    <row r="168" spans="1:17" ht="13.95" customHeight="1" outlineLevel="3" x14ac:dyDescent="0.25">
      <c r="A168" t="s">
        <v>1</v>
      </c>
      <c r="B168" s="2">
        <v>40217</v>
      </c>
      <c r="C168" s="2">
        <v>40217</v>
      </c>
      <c r="D168" s="2">
        <v>40262</v>
      </c>
      <c r="E168" s="2"/>
      <c r="F168" t="s">
        <v>2</v>
      </c>
      <c r="G168" s="3">
        <v>45</v>
      </c>
      <c r="H168" s="4">
        <v>37569.4</v>
      </c>
      <c r="I168" t="s">
        <v>3</v>
      </c>
      <c r="J168" s="6">
        <v>1400000011</v>
      </c>
      <c r="K168" t="s">
        <v>0</v>
      </c>
      <c r="L168" s="3">
        <v>3823</v>
      </c>
      <c r="M168" s="3">
        <v>3792</v>
      </c>
      <c r="N168" t="s">
        <v>4</v>
      </c>
      <c r="O168" s="6">
        <v>1032</v>
      </c>
      <c r="P168" s="12">
        <f t="shared" si="4"/>
        <v>646</v>
      </c>
      <c r="Q168" t="str">
        <f t="shared" si="5"/>
        <v>⑤만기경과 후 12개월 초과</v>
      </c>
    </row>
    <row r="169" spans="1:17" ht="13.95" customHeight="1" outlineLevel="3" x14ac:dyDescent="0.25">
      <c r="A169" t="s">
        <v>1</v>
      </c>
      <c r="B169" s="2">
        <v>40217</v>
      </c>
      <c r="C169" s="2">
        <v>40217</v>
      </c>
      <c r="D169" s="2">
        <v>40262</v>
      </c>
      <c r="E169" s="2"/>
      <c r="F169" t="s">
        <v>2</v>
      </c>
      <c r="G169" s="3">
        <v>45</v>
      </c>
      <c r="H169" s="4">
        <v>29910.6</v>
      </c>
      <c r="I169" t="s">
        <v>3</v>
      </c>
      <c r="J169" s="6">
        <v>1400000010</v>
      </c>
      <c r="K169" t="s">
        <v>0</v>
      </c>
      <c r="L169" s="3">
        <v>3823</v>
      </c>
      <c r="M169" s="3">
        <v>3792</v>
      </c>
      <c r="N169" t="s">
        <v>4</v>
      </c>
      <c r="O169" s="6">
        <v>1032</v>
      </c>
      <c r="P169" s="12">
        <f t="shared" si="4"/>
        <v>646</v>
      </c>
      <c r="Q169" t="str">
        <f t="shared" si="5"/>
        <v>⑤만기경과 후 12개월 초과</v>
      </c>
    </row>
    <row r="170" spans="1:17" ht="13.95" customHeight="1" outlineLevel="3" x14ac:dyDescent="0.25">
      <c r="A170" t="s">
        <v>1</v>
      </c>
      <c r="B170" s="2">
        <v>40217</v>
      </c>
      <c r="C170" s="2">
        <v>40217</v>
      </c>
      <c r="D170" s="2">
        <v>40262</v>
      </c>
      <c r="E170" s="2"/>
      <c r="F170" t="s">
        <v>2</v>
      </c>
      <c r="G170" s="3">
        <v>45</v>
      </c>
      <c r="H170" s="4">
        <v>36445.199999999997</v>
      </c>
      <c r="I170" t="s">
        <v>3</v>
      </c>
      <c r="J170" s="6">
        <v>1400000009</v>
      </c>
      <c r="K170" t="s">
        <v>0</v>
      </c>
      <c r="L170" s="3">
        <v>3823</v>
      </c>
      <c r="M170" s="3">
        <v>3792</v>
      </c>
      <c r="N170" t="s">
        <v>4</v>
      </c>
      <c r="O170" s="6">
        <v>1032</v>
      </c>
      <c r="P170" s="12">
        <f t="shared" si="4"/>
        <v>646</v>
      </c>
      <c r="Q170" t="str">
        <f t="shared" si="5"/>
        <v>⑤만기경과 후 12개월 초과</v>
      </c>
    </row>
    <row r="171" spans="1:17" ht="13.95" customHeight="1" outlineLevel="3" x14ac:dyDescent="0.25">
      <c r="A171" t="s">
        <v>1</v>
      </c>
      <c r="B171" s="2">
        <v>40183</v>
      </c>
      <c r="C171" s="2">
        <v>40183</v>
      </c>
      <c r="D171" s="2">
        <v>40228</v>
      </c>
      <c r="E171" s="2"/>
      <c r="F171" t="s">
        <v>2</v>
      </c>
      <c r="G171" s="3">
        <v>45</v>
      </c>
      <c r="H171" s="4">
        <v>40984.800000000003</v>
      </c>
      <c r="I171" t="s">
        <v>3</v>
      </c>
      <c r="J171" s="6">
        <v>1400000002</v>
      </c>
      <c r="K171" t="s">
        <v>0</v>
      </c>
      <c r="L171" s="3">
        <v>3857</v>
      </c>
      <c r="M171" s="3">
        <v>3826</v>
      </c>
      <c r="N171" t="s">
        <v>4</v>
      </c>
      <c r="O171" s="6">
        <v>1032</v>
      </c>
      <c r="P171" s="12">
        <f t="shared" si="4"/>
        <v>680</v>
      </c>
      <c r="Q171" t="str">
        <f t="shared" si="5"/>
        <v>⑤만기경과 후 12개월 초과</v>
      </c>
    </row>
    <row r="172" spans="1:17" ht="13.95" customHeight="1" outlineLevel="3" x14ac:dyDescent="0.25">
      <c r="A172" t="s">
        <v>1</v>
      </c>
      <c r="B172" s="2">
        <v>40183</v>
      </c>
      <c r="C172" s="2">
        <v>40183</v>
      </c>
      <c r="D172" s="2">
        <v>40228</v>
      </c>
      <c r="E172" s="2"/>
      <c r="F172" t="s">
        <v>2</v>
      </c>
      <c r="G172" s="3">
        <v>45</v>
      </c>
      <c r="H172" s="4">
        <v>23263.8</v>
      </c>
      <c r="I172" t="s">
        <v>3</v>
      </c>
      <c r="J172" s="6">
        <v>1400000001</v>
      </c>
      <c r="K172" t="s">
        <v>0</v>
      </c>
      <c r="L172" s="3">
        <v>3857</v>
      </c>
      <c r="M172" s="3">
        <v>3826</v>
      </c>
      <c r="N172" t="s">
        <v>4</v>
      </c>
      <c r="O172" s="6">
        <v>1032</v>
      </c>
      <c r="P172" s="12">
        <f t="shared" si="4"/>
        <v>680</v>
      </c>
      <c r="Q172" t="str">
        <f t="shared" si="5"/>
        <v>⑤만기경과 후 12개월 초과</v>
      </c>
    </row>
    <row r="173" spans="1:17" ht="13.95" customHeight="1" outlineLevel="3" x14ac:dyDescent="0.25">
      <c r="A173" t="s">
        <v>1</v>
      </c>
      <c r="B173" s="2">
        <v>40183</v>
      </c>
      <c r="C173" s="2">
        <v>40183</v>
      </c>
      <c r="D173" s="2">
        <v>40228</v>
      </c>
      <c r="E173" s="2"/>
      <c r="F173" t="s">
        <v>2</v>
      </c>
      <c r="G173" s="3">
        <v>45</v>
      </c>
      <c r="H173" s="4">
        <v>30371</v>
      </c>
      <c r="I173" t="s">
        <v>3</v>
      </c>
      <c r="J173" s="6">
        <v>1400000000</v>
      </c>
      <c r="K173" t="s">
        <v>0</v>
      </c>
      <c r="L173" s="3">
        <v>3857</v>
      </c>
      <c r="M173" s="3">
        <v>3826</v>
      </c>
      <c r="N173" t="s">
        <v>4</v>
      </c>
      <c r="O173" s="6">
        <v>1032</v>
      </c>
      <c r="P173" s="12">
        <f t="shared" si="4"/>
        <v>680</v>
      </c>
      <c r="Q173" t="str">
        <f t="shared" si="5"/>
        <v>⑤만기경과 후 12개월 초과</v>
      </c>
    </row>
    <row r="174" spans="1:17" ht="13.95" customHeight="1" outlineLevel="3" x14ac:dyDescent="0.25">
      <c r="A174" t="s">
        <v>1</v>
      </c>
      <c r="B174" s="2">
        <v>43281</v>
      </c>
      <c r="C174" s="2">
        <v>43281</v>
      </c>
      <c r="D174" s="2">
        <v>43326</v>
      </c>
      <c r="E174" s="2"/>
      <c r="F174" t="s">
        <v>2</v>
      </c>
      <c r="G174" s="3">
        <v>45</v>
      </c>
      <c r="H174" s="4">
        <v>1000</v>
      </c>
      <c r="I174" t="s">
        <v>3</v>
      </c>
      <c r="J174" s="6">
        <v>1400000179</v>
      </c>
      <c r="K174" t="s">
        <v>0</v>
      </c>
      <c r="L174" s="3">
        <v>759</v>
      </c>
      <c r="M174" s="3">
        <v>728</v>
      </c>
      <c r="N174" t="s">
        <v>4</v>
      </c>
      <c r="O174" s="6">
        <v>1033</v>
      </c>
      <c r="P174" s="12">
        <f t="shared" si="4"/>
        <v>-2418</v>
      </c>
      <c r="Q174" t="str">
        <f t="shared" si="5"/>
        <v>①연체되지 않은 채권</v>
      </c>
    </row>
    <row r="175" spans="1:17" ht="13.95" customHeight="1" outlineLevel="3" x14ac:dyDescent="0.25">
      <c r="A175" t="s">
        <v>1</v>
      </c>
      <c r="B175" s="2">
        <v>40908</v>
      </c>
      <c r="C175" s="2">
        <v>40908</v>
      </c>
      <c r="D175" s="2">
        <v>40953</v>
      </c>
      <c r="E175" s="2"/>
      <c r="F175" t="s">
        <v>2</v>
      </c>
      <c r="G175" s="3">
        <v>45</v>
      </c>
      <c r="H175" s="4">
        <v>48771.91</v>
      </c>
      <c r="I175" t="s">
        <v>3</v>
      </c>
      <c r="J175" s="6">
        <v>1400000166</v>
      </c>
      <c r="K175" t="s">
        <v>0</v>
      </c>
      <c r="L175" s="3">
        <v>3132</v>
      </c>
      <c r="M175" s="3">
        <v>3101</v>
      </c>
      <c r="N175" t="s">
        <v>4</v>
      </c>
      <c r="O175" s="6">
        <v>1050</v>
      </c>
      <c r="P175" s="12">
        <f t="shared" si="4"/>
        <v>-45</v>
      </c>
      <c r="Q175" t="str">
        <f t="shared" si="5"/>
        <v>①연체되지 않은 채권</v>
      </c>
    </row>
    <row r="176" spans="1:17" ht="13.95" customHeight="1" outlineLevel="3" x14ac:dyDescent="0.25">
      <c r="A176" t="s">
        <v>1</v>
      </c>
      <c r="B176" s="2">
        <v>40908</v>
      </c>
      <c r="C176" s="2">
        <v>40908</v>
      </c>
      <c r="D176" s="2">
        <v>40953</v>
      </c>
      <c r="E176" s="2"/>
      <c r="F176" t="s">
        <v>2</v>
      </c>
      <c r="G176" s="3">
        <v>45</v>
      </c>
      <c r="H176" s="4">
        <v>36141.49</v>
      </c>
      <c r="I176" t="s">
        <v>3</v>
      </c>
      <c r="J176" s="6">
        <v>1400000167</v>
      </c>
      <c r="K176" t="s">
        <v>0</v>
      </c>
      <c r="L176" s="3">
        <v>3132</v>
      </c>
      <c r="M176" s="3">
        <v>3101</v>
      </c>
      <c r="N176" t="s">
        <v>4</v>
      </c>
      <c r="O176" s="6">
        <v>1050</v>
      </c>
      <c r="P176" s="12">
        <f t="shared" si="4"/>
        <v>-45</v>
      </c>
      <c r="Q176" t="str">
        <f t="shared" si="5"/>
        <v>①연체되지 않은 채권</v>
      </c>
    </row>
    <row r="177" spans="1:17" ht="13.95" customHeight="1" outlineLevel="3" x14ac:dyDescent="0.25">
      <c r="A177" t="s">
        <v>1</v>
      </c>
      <c r="B177" s="2">
        <v>40908</v>
      </c>
      <c r="C177" s="2">
        <v>40908</v>
      </c>
      <c r="D177" s="2">
        <v>40953</v>
      </c>
      <c r="E177" s="2"/>
      <c r="F177" t="s">
        <v>2</v>
      </c>
      <c r="G177" s="3">
        <v>45</v>
      </c>
      <c r="H177" s="4">
        <v>27683.919999999998</v>
      </c>
      <c r="I177" t="s">
        <v>3</v>
      </c>
      <c r="J177" s="6">
        <v>1400000165</v>
      </c>
      <c r="K177" t="s">
        <v>0</v>
      </c>
      <c r="L177" s="3">
        <v>3132</v>
      </c>
      <c r="M177" s="3">
        <v>3101</v>
      </c>
      <c r="N177" t="s">
        <v>4</v>
      </c>
      <c r="O177" s="6">
        <v>1050</v>
      </c>
      <c r="P177" s="12">
        <f t="shared" si="4"/>
        <v>-45</v>
      </c>
      <c r="Q177" t="str">
        <f t="shared" si="5"/>
        <v>①연체되지 않은 채권</v>
      </c>
    </row>
    <row r="178" spans="1:17" ht="13.95" customHeight="1" outlineLevel="3" x14ac:dyDescent="0.25">
      <c r="A178" t="s">
        <v>1</v>
      </c>
      <c r="B178" s="2">
        <v>40908</v>
      </c>
      <c r="C178" s="2">
        <v>40908</v>
      </c>
      <c r="D178" s="2">
        <v>40953</v>
      </c>
      <c r="E178" s="2"/>
      <c r="F178" t="s">
        <v>2</v>
      </c>
      <c r="G178" s="3">
        <v>45</v>
      </c>
      <c r="H178" s="4">
        <v>32527.34</v>
      </c>
      <c r="I178" t="s">
        <v>3</v>
      </c>
      <c r="J178" s="6">
        <v>1400000164</v>
      </c>
      <c r="K178" t="s">
        <v>0</v>
      </c>
      <c r="L178" s="3">
        <v>3132</v>
      </c>
      <c r="M178" s="3">
        <v>3101</v>
      </c>
      <c r="N178" t="s">
        <v>4</v>
      </c>
      <c r="O178" s="6">
        <v>1050</v>
      </c>
      <c r="P178" s="12">
        <f t="shared" si="4"/>
        <v>-45</v>
      </c>
      <c r="Q178" t="str">
        <f t="shared" si="5"/>
        <v>①연체되지 않은 채권</v>
      </c>
    </row>
    <row r="179" spans="1:17" ht="13.95" customHeight="1" outlineLevel="3" x14ac:dyDescent="0.25">
      <c r="A179" t="s">
        <v>1</v>
      </c>
      <c r="B179" s="2">
        <v>40877</v>
      </c>
      <c r="C179" s="2">
        <v>40877</v>
      </c>
      <c r="D179" s="2">
        <v>40922</v>
      </c>
      <c r="E179" s="2"/>
      <c r="F179" t="s">
        <v>2</v>
      </c>
      <c r="G179" s="3">
        <v>45</v>
      </c>
      <c r="H179" s="4">
        <v>48771.91</v>
      </c>
      <c r="I179" t="s">
        <v>3</v>
      </c>
      <c r="J179" s="6">
        <v>1400000100</v>
      </c>
      <c r="K179" t="s">
        <v>0</v>
      </c>
      <c r="L179" s="3">
        <v>3163</v>
      </c>
      <c r="M179" s="3">
        <v>3132</v>
      </c>
      <c r="N179" t="s">
        <v>4</v>
      </c>
      <c r="O179" s="6">
        <v>1050</v>
      </c>
      <c r="P179" s="12">
        <f t="shared" si="4"/>
        <v>-14</v>
      </c>
      <c r="Q179" t="str">
        <f t="shared" si="5"/>
        <v>①연체되지 않은 채권</v>
      </c>
    </row>
    <row r="180" spans="1:17" ht="13.95" customHeight="1" outlineLevel="3" x14ac:dyDescent="0.25">
      <c r="A180" t="s">
        <v>1</v>
      </c>
      <c r="B180" s="2">
        <v>40908</v>
      </c>
      <c r="C180" s="2">
        <v>40908</v>
      </c>
      <c r="D180" s="2">
        <v>40953</v>
      </c>
      <c r="E180" s="2"/>
      <c r="F180" t="s">
        <v>2</v>
      </c>
      <c r="G180" s="3">
        <v>45</v>
      </c>
      <c r="H180" s="4">
        <v>23729.08</v>
      </c>
      <c r="I180" t="s">
        <v>3</v>
      </c>
      <c r="J180" s="6">
        <v>1400000168</v>
      </c>
      <c r="K180" t="s">
        <v>0</v>
      </c>
      <c r="L180" s="3">
        <v>3132</v>
      </c>
      <c r="M180" s="3">
        <v>3101</v>
      </c>
      <c r="N180" t="s">
        <v>4</v>
      </c>
      <c r="O180" s="6">
        <v>1050</v>
      </c>
      <c r="P180" s="12">
        <f t="shared" si="4"/>
        <v>-45</v>
      </c>
      <c r="Q180" t="str">
        <f t="shared" si="5"/>
        <v>①연체되지 않은 채권</v>
      </c>
    </row>
    <row r="181" spans="1:17" ht="13.95" customHeight="1" outlineLevel="3" x14ac:dyDescent="0.25">
      <c r="A181" t="s">
        <v>1</v>
      </c>
      <c r="B181" s="2">
        <v>40908</v>
      </c>
      <c r="C181" s="2">
        <v>40908</v>
      </c>
      <c r="D181" s="2">
        <v>40953</v>
      </c>
      <c r="E181" s="2"/>
      <c r="F181" t="s">
        <v>2</v>
      </c>
      <c r="G181" s="3">
        <v>45</v>
      </c>
      <c r="H181" s="4">
        <v>44707.59</v>
      </c>
      <c r="I181" t="s">
        <v>3</v>
      </c>
      <c r="J181" s="6">
        <v>1400000169</v>
      </c>
      <c r="K181" t="s">
        <v>0</v>
      </c>
      <c r="L181" s="3">
        <v>3132</v>
      </c>
      <c r="M181" s="3">
        <v>3101</v>
      </c>
      <c r="N181" t="s">
        <v>4</v>
      </c>
      <c r="O181" s="6">
        <v>1050</v>
      </c>
      <c r="P181" s="12">
        <f t="shared" si="4"/>
        <v>-45</v>
      </c>
      <c r="Q181" t="str">
        <f t="shared" si="5"/>
        <v>①연체되지 않은 채권</v>
      </c>
    </row>
    <row r="182" spans="1:17" ht="13.95" customHeight="1" outlineLevel="3" x14ac:dyDescent="0.25">
      <c r="A182" t="s">
        <v>1</v>
      </c>
      <c r="B182" s="2">
        <v>40939</v>
      </c>
      <c r="C182" s="2">
        <v>40939</v>
      </c>
      <c r="D182" s="2">
        <v>40984</v>
      </c>
      <c r="E182" s="2"/>
      <c r="F182" t="s">
        <v>2</v>
      </c>
      <c r="G182" s="3">
        <v>45</v>
      </c>
      <c r="H182" s="4">
        <v>36141.49</v>
      </c>
      <c r="I182" t="s">
        <v>3</v>
      </c>
      <c r="J182" s="6">
        <v>1400000003</v>
      </c>
      <c r="K182" t="s">
        <v>0</v>
      </c>
      <c r="L182" s="3">
        <v>3101</v>
      </c>
      <c r="M182" s="3">
        <v>3070</v>
      </c>
      <c r="N182" t="s">
        <v>4</v>
      </c>
      <c r="O182" s="6">
        <v>1050</v>
      </c>
      <c r="P182" s="12">
        <f t="shared" si="4"/>
        <v>-76</v>
      </c>
      <c r="Q182" t="str">
        <f t="shared" si="5"/>
        <v>①연체되지 않은 채권</v>
      </c>
    </row>
    <row r="183" spans="1:17" ht="13.95" customHeight="1" outlineLevel="3" x14ac:dyDescent="0.25">
      <c r="A183" t="s">
        <v>1</v>
      </c>
      <c r="B183" s="2">
        <v>40939</v>
      </c>
      <c r="C183" s="2">
        <v>40939</v>
      </c>
      <c r="D183" s="2">
        <v>40984</v>
      </c>
      <c r="E183" s="2"/>
      <c r="F183" t="s">
        <v>2</v>
      </c>
      <c r="G183" s="3">
        <v>45</v>
      </c>
      <c r="H183" s="4">
        <v>23729.08</v>
      </c>
      <c r="I183" t="s">
        <v>3</v>
      </c>
      <c r="J183" s="6">
        <v>1400000004</v>
      </c>
      <c r="K183" t="s">
        <v>0</v>
      </c>
      <c r="L183" s="3">
        <v>3101</v>
      </c>
      <c r="M183" s="3">
        <v>3070</v>
      </c>
      <c r="N183" t="s">
        <v>4</v>
      </c>
      <c r="O183" s="6">
        <v>1050</v>
      </c>
      <c r="P183" s="12">
        <f t="shared" si="4"/>
        <v>-76</v>
      </c>
      <c r="Q183" t="str">
        <f t="shared" si="5"/>
        <v>①연체되지 않은 채권</v>
      </c>
    </row>
    <row r="184" spans="1:17" ht="13.95" customHeight="1" outlineLevel="3" x14ac:dyDescent="0.25">
      <c r="A184" t="s">
        <v>1</v>
      </c>
      <c r="B184" s="2">
        <v>40939</v>
      </c>
      <c r="C184" s="2">
        <v>40939</v>
      </c>
      <c r="D184" s="2">
        <v>40984</v>
      </c>
      <c r="E184" s="2"/>
      <c r="F184" t="s">
        <v>2</v>
      </c>
      <c r="G184" s="3">
        <v>45</v>
      </c>
      <c r="H184" s="4">
        <v>40643.26</v>
      </c>
      <c r="I184" t="s">
        <v>3</v>
      </c>
      <c r="J184" s="6">
        <v>1400000005</v>
      </c>
      <c r="K184" t="s">
        <v>0</v>
      </c>
      <c r="L184" s="3">
        <v>3101</v>
      </c>
      <c r="M184" s="3">
        <v>3070</v>
      </c>
      <c r="N184" t="s">
        <v>4</v>
      </c>
      <c r="O184" s="6">
        <v>1050</v>
      </c>
      <c r="P184" s="12">
        <f t="shared" si="4"/>
        <v>-76</v>
      </c>
      <c r="Q184" t="str">
        <f t="shared" si="5"/>
        <v>①연체되지 않은 채권</v>
      </c>
    </row>
    <row r="185" spans="1:17" ht="13.95" customHeight="1" outlineLevel="3" x14ac:dyDescent="0.25">
      <c r="A185" t="s">
        <v>1</v>
      </c>
      <c r="B185" s="2">
        <v>40939</v>
      </c>
      <c r="C185" s="2">
        <v>40939</v>
      </c>
      <c r="D185" s="2">
        <v>40984</v>
      </c>
      <c r="E185" s="2"/>
      <c r="F185" t="s">
        <v>2</v>
      </c>
      <c r="G185" s="3">
        <v>45</v>
      </c>
      <c r="H185" s="4">
        <v>39755.64</v>
      </c>
      <c r="I185" t="s">
        <v>3</v>
      </c>
      <c r="J185" s="6">
        <v>1400000006</v>
      </c>
      <c r="K185" t="s">
        <v>0</v>
      </c>
      <c r="L185" s="3">
        <v>3101</v>
      </c>
      <c r="M185" s="3">
        <v>3070</v>
      </c>
      <c r="N185" t="s">
        <v>4</v>
      </c>
      <c r="O185" s="6">
        <v>1050</v>
      </c>
      <c r="P185" s="12">
        <f t="shared" si="4"/>
        <v>-76</v>
      </c>
      <c r="Q185" t="str">
        <f t="shared" si="5"/>
        <v>①연체되지 않은 채권</v>
      </c>
    </row>
    <row r="186" spans="1:17" ht="13.95" customHeight="1" outlineLevel="3" x14ac:dyDescent="0.25">
      <c r="A186" t="s">
        <v>1</v>
      </c>
      <c r="B186" s="2">
        <v>40877</v>
      </c>
      <c r="C186" s="2">
        <v>40877</v>
      </c>
      <c r="D186" s="2">
        <v>40922</v>
      </c>
      <c r="E186" s="2"/>
      <c r="F186" t="s">
        <v>2</v>
      </c>
      <c r="G186" s="3">
        <v>45</v>
      </c>
      <c r="H186" s="4">
        <v>31638.77</v>
      </c>
      <c r="I186" t="s">
        <v>3</v>
      </c>
      <c r="J186" s="6">
        <v>1400000099</v>
      </c>
      <c r="K186" t="s">
        <v>0</v>
      </c>
      <c r="L186" s="3">
        <v>3163</v>
      </c>
      <c r="M186" s="3">
        <v>3132</v>
      </c>
      <c r="N186" t="s">
        <v>4</v>
      </c>
      <c r="O186" s="6">
        <v>1050</v>
      </c>
      <c r="P186" s="12">
        <f t="shared" si="4"/>
        <v>-14</v>
      </c>
      <c r="Q186" t="str">
        <f t="shared" si="5"/>
        <v>①연체되지 않은 채권</v>
      </c>
    </row>
    <row r="187" spans="1:17" ht="13.95" customHeight="1" outlineLevel="3" x14ac:dyDescent="0.25">
      <c r="A187" t="s">
        <v>1</v>
      </c>
      <c r="B187" s="2">
        <v>40877</v>
      </c>
      <c r="C187" s="2">
        <v>40877</v>
      </c>
      <c r="D187" s="2">
        <v>40922</v>
      </c>
      <c r="E187" s="2"/>
      <c r="F187" t="s">
        <v>2</v>
      </c>
      <c r="G187" s="3">
        <v>45</v>
      </c>
      <c r="H187" s="4">
        <v>32527.34</v>
      </c>
      <c r="I187" t="s">
        <v>3</v>
      </c>
      <c r="J187" s="6">
        <v>1400000098</v>
      </c>
      <c r="K187" t="s">
        <v>0</v>
      </c>
      <c r="L187" s="3">
        <v>3163</v>
      </c>
      <c r="M187" s="3">
        <v>3132</v>
      </c>
      <c r="N187" t="s">
        <v>4</v>
      </c>
      <c r="O187" s="6">
        <v>1050</v>
      </c>
      <c r="P187" s="12">
        <f t="shared" si="4"/>
        <v>-14</v>
      </c>
      <c r="Q187" t="str">
        <f t="shared" si="5"/>
        <v>①연체되지 않은 채권</v>
      </c>
    </row>
    <row r="188" spans="1:17" ht="13.95" customHeight="1" outlineLevel="3" x14ac:dyDescent="0.25">
      <c r="A188" t="s">
        <v>1</v>
      </c>
      <c r="B188" s="2">
        <v>40877</v>
      </c>
      <c r="C188" s="2">
        <v>40877</v>
      </c>
      <c r="D188" s="2">
        <v>40922</v>
      </c>
      <c r="E188" s="2"/>
      <c r="F188" t="s">
        <v>2</v>
      </c>
      <c r="G188" s="3">
        <v>45</v>
      </c>
      <c r="H188" s="4">
        <v>52836.24</v>
      </c>
      <c r="I188" t="s">
        <v>3</v>
      </c>
      <c r="J188" s="6">
        <v>1400000097</v>
      </c>
      <c r="K188" t="s">
        <v>0</v>
      </c>
      <c r="L188" s="3">
        <v>3163</v>
      </c>
      <c r="M188" s="3">
        <v>3132</v>
      </c>
      <c r="N188" t="s">
        <v>4</v>
      </c>
      <c r="O188" s="6">
        <v>1050</v>
      </c>
      <c r="P188" s="12">
        <f t="shared" si="4"/>
        <v>-14</v>
      </c>
      <c r="Q188" t="str">
        <f t="shared" si="5"/>
        <v>①연체되지 않은 채권</v>
      </c>
    </row>
    <row r="189" spans="1:17" ht="13.95" customHeight="1" outlineLevel="3" x14ac:dyDescent="0.25">
      <c r="A189" t="s">
        <v>1</v>
      </c>
      <c r="B189" s="2">
        <v>40877</v>
      </c>
      <c r="C189" s="2">
        <v>40877</v>
      </c>
      <c r="D189" s="2">
        <v>40922</v>
      </c>
      <c r="E189" s="2"/>
      <c r="F189" t="s">
        <v>2</v>
      </c>
      <c r="G189" s="3">
        <v>45</v>
      </c>
      <c r="H189" s="4">
        <v>35593.61</v>
      </c>
      <c r="I189" t="s">
        <v>3</v>
      </c>
      <c r="J189" s="6">
        <v>1400000096</v>
      </c>
      <c r="K189" t="s">
        <v>0</v>
      </c>
      <c r="L189" s="3">
        <v>3163</v>
      </c>
      <c r="M189" s="3">
        <v>3132</v>
      </c>
      <c r="N189" t="s">
        <v>4</v>
      </c>
      <c r="O189" s="6">
        <v>1050</v>
      </c>
      <c r="P189" s="12">
        <f t="shared" si="4"/>
        <v>-14</v>
      </c>
      <c r="Q189" t="str">
        <f t="shared" si="5"/>
        <v>①연체되지 않은 채권</v>
      </c>
    </row>
    <row r="190" spans="1:17" ht="13.95" customHeight="1" outlineLevel="3" x14ac:dyDescent="0.25">
      <c r="A190" t="s">
        <v>1</v>
      </c>
      <c r="B190" s="2">
        <v>40877</v>
      </c>
      <c r="C190" s="2">
        <v>40877</v>
      </c>
      <c r="D190" s="2">
        <v>40922</v>
      </c>
      <c r="E190" s="2"/>
      <c r="F190" t="s">
        <v>2</v>
      </c>
      <c r="G190" s="3">
        <v>45</v>
      </c>
      <c r="H190" s="4">
        <v>28913.19</v>
      </c>
      <c r="I190" t="s">
        <v>3</v>
      </c>
      <c r="J190" s="6">
        <v>1400000095</v>
      </c>
      <c r="K190" t="s">
        <v>0</v>
      </c>
      <c r="L190" s="3">
        <v>3163</v>
      </c>
      <c r="M190" s="3">
        <v>3132</v>
      </c>
      <c r="N190" t="s">
        <v>4</v>
      </c>
      <c r="O190" s="6">
        <v>1050</v>
      </c>
      <c r="P190" s="12">
        <f t="shared" si="4"/>
        <v>-14</v>
      </c>
      <c r="Q190" t="str">
        <f t="shared" si="5"/>
        <v>①연체되지 않은 채권</v>
      </c>
    </row>
    <row r="191" spans="1:17" ht="13.95" customHeight="1" outlineLevel="3" x14ac:dyDescent="0.25">
      <c r="A191" t="s">
        <v>1</v>
      </c>
      <c r="B191" s="2">
        <v>40847</v>
      </c>
      <c r="C191" s="2">
        <v>40847</v>
      </c>
      <c r="D191" s="2">
        <v>40892</v>
      </c>
      <c r="E191" s="2"/>
      <c r="F191" t="s">
        <v>2</v>
      </c>
      <c r="G191" s="3">
        <v>45</v>
      </c>
      <c r="H191" s="4">
        <v>52836.24</v>
      </c>
      <c r="I191" t="s">
        <v>3</v>
      </c>
      <c r="J191" s="6">
        <v>1400000091</v>
      </c>
      <c r="K191" t="s">
        <v>0</v>
      </c>
      <c r="L191" s="3">
        <v>3193</v>
      </c>
      <c r="M191" s="3">
        <v>3162</v>
      </c>
      <c r="N191" t="s">
        <v>4</v>
      </c>
      <c r="O191" s="6">
        <v>1050</v>
      </c>
      <c r="P191" s="12">
        <f t="shared" si="4"/>
        <v>16</v>
      </c>
      <c r="Q191" t="str">
        <f t="shared" si="5"/>
        <v>②만기경과 후 3개월 이하</v>
      </c>
    </row>
    <row r="192" spans="1:17" ht="13.95" customHeight="1" outlineLevel="3" x14ac:dyDescent="0.25">
      <c r="A192" t="s">
        <v>1</v>
      </c>
      <c r="B192" s="2">
        <v>40847</v>
      </c>
      <c r="C192" s="2">
        <v>40847</v>
      </c>
      <c r="D192" s="2">
        <v>40892</v>
      </c>
      <c r="E192" s="2"/>
      <c r="F192" t="s">
        <v>2</v>
      </c>
      <c r="G192" s="3">
        <v>45</v>
      </c>
      <c r="H192" s="4">
        <v>39548.46</v>
      </c>
      <c r="I192" t="s">
        <v>3</v>
      </c>
      <c r="J192" s="6">
        <v>1400000090</v>
      </c>
      <c r="K192" t="s">
        <v>0</v>
      </c>
      <c r="L192" s="3">
        <v>3193</v>
      </c>
      <c r="M192" s="3">
        <v>3162</v>
      </c>
      <c r="N192" t="s">
        <v>4</v>
      </c>
      <c r="O192" s="6">
        <v>1050</v>
      </c>
      <c r="P192" s="12">
        <f t="shared" si="4"/>
        <v>16</v>
      </c>
      <c r="Q192" t="str">
        <f t="shared" si="5"/>
        <v>②만기경과 후 3개월 이하</v>
      </c>
    </row>
    <row r="193" spans="1:17" ht="13.95" customHeight="1" outlineLevel="3" x14ac:dyDescent="0.25">
      <c r="A193" t="s">
        <v>1</v>
      </c>
      <c r="B193" s="2">
        <v>40847</v>
      </c>
      <c r="C193" s="2">
        <v>40847</v>
      </c>
      <c r="D193" s="2">
        <v>40892</v>
      </c>
      <c r="E193" s="2"/>
      <c r="F193" t="s">
        <v>2</v>
      </c>
      <c r="G193" s="3">
        <v>45</v>
      </c>
      <c r="H193" s="4">
        <v>25299.040000000001</v>
      </c>
      <c r="I193" t="s">
        <v>3</v>
      </c>
      <c r="J193" s="6">
        <v>1400000089</v>
      </c>
      <c r="K193" t="s">
        <v>0</v>
      </c>
      <c r="L193" s="3">
        <v>3193</v>
      </c>
      <c r="M193" s="3">
        <v>3162</v>
      </c>
      <c r="N193" t="s">
        <v>4</v>
      </c>
      <c r="O193" s="6">
        <v>1050</v>
      </c>
      <c r="P193" s="12">
        <f t="shared" si="4"/>
        <v>16</v>
      </c>
      <c r="Q193" t="str">
        <f t="shared" si="5"/>
        <v>②만기경과 후 3개월 이하</v>
      </c>
    </row>
    <row r="194" spans="1:17" ht="13.95" customHeight="1" outlineLevel="3" x14ac:dyDescent="0.25">
      <c r="A194" t="s">
        <v>1</v>
      </c>
      <c r="B194" s="2">
        <v>40847</v>
      </c>
      <c r="C194" s="2">
        <v>40847</v>
      </c>
      <c r="D194" s="2">
        <v>40892</v>
      </c>
      <c r="E194" s="2"/>
      <c r="F194" t="s">
        <v>2</v>
      </c>
      <c r="G194" s="3">
        <v>45</v>
      </c>
      <c r="H194" s="4">
        <v>56900.56</v>
      </c>
      <c r="I194" t="s">
        <v>3</v>
      </c>
      <c r="J194" s="6">
        <v>1400000088</v>
      </c>
      <c r="K194" t="s">
        <v>0</v>
      </c>
      <c r="L194" s="3">
        <v>3193</v>
      </c>
      <c r="M194" s="3">
        <v>3162</v>
      </c>
      <c r="N194" t="s">
        <v>4</v>
      </c>
      <c r="O194" s="6">
        <v>1050</v>
      </c>
      <c r="P194" s="12">
        <f t="shared" si="4"/>
        <v>16</v>
      </c>
      <c r="Q194" t="str">
        <f t="shared" si="5"/>
        <v>②만기경과 후 3개월 이하</v>
      </c>
    </row>
    <row r="195" spans="1:17" ht="13.95" customHeight="1" outlineLevel="3" x14ac:dyDescent="0.25">
      <c r="A195" t="s">
        <v>1</v>
      </c>
      <c r="B195" s="2">
        <v>40847</v>
      </c>
      <c r="C195" s="2">
        <v>40847</v>
      </c>
      <c r="D195" s="2">
        <v>40892</v>
      </c>
      <c r="E195" s="2"/>
      <c r="F195" t="s">
        <v>2</v>
      </c>
      <c r="G195" s="3">
        <v>45</v>
      </c>
      <c r="H195" s="4">
        <v>43503.31</v>
      </c>
      <c r="I195" t="s">
        <v>3</v>
      </c>
      <c r="J195" s="6">
        <v>1400000087</v>
      </c>
      <c r="K195" t="s">
        <v>0</v>
      </c>
      <c r="L195" s="3">
        <v>3193</v>
      </c>
      <c r="M195" s="3">
        <v>3162</v>
      </c>
      <c r="N195" t="s">
        <v>4</v>
      </c>
      <c r="O195" s="6">
        <v>1050</v>
      </c>
      <c r="P195" s="12">
        <f t="shared" ref="P195:P258" si="6">$T$1-D195</f>
        <v>16</v>
      </c>
      <c r="Q195" t="str">
        <f t="shared" ref="Q195:Q258" si="7">IF(P195&lt;=0,"①연체되지 않은 채권",IF(P195&lt;=92,"②만기경과 후 3개월 이하",IF(P195&lt;=184,"③만기경과 후 4~6개월",IF(P195&lt;=365,"④만기경과 후 7~12개월","⑤만기경과 후 12개월 초과"))))</f>
        <v>②만기경과 후 3개월 이하</v>
      </c>
    </row>
    <row r="196" spans="1:17" ht="13.95" customHeight="1" outlineLevel="3" x14ac:dyDescent="0.25">
      <c r="A196" t="s">
        <v>1</v>
      </c>
      <c r="B196" s="2">
        <v>40847</v>
      </c>
      <c r="C196" s="2">
        <v>40847</v>
      </c>
      <c r="D196" s="2">
        <v>40892</v>
      </c>
      <c r="E196" s="2"/>
      <c r="F196" t="s">
        <v>2</v>
      </c>
      <c r="G196" s="3">
        <v>45</v>
      </c>
      <c r="H196" s="4">
        <v>21684.89</v>
      </c>
      <c r="I196" t="s">
        <v>3</v>
      </c>
      <c r="J196" s="6">
        <v>1400000086</v>
      </c>
      <c r="K196" t="s">
        <v>0</v>
      </c>
      <c r="L196" s="3">
        <v>3193</v>
      </c>
      <c r="M196" s="3">
        <v>3162</v>
      </c>
      <c r="N196" t="s">
        <v>4</v>
      </c>
      <c r="O196" s="6">
        <v>1050</v>
      </c>
      <c r="P196" s="12">
        <f t="shared" si="6"/>
        <v>16</v>
      </c>
      <c r="Q196" t="str">
        <f t="shared" si="7"/>
        <v>②만기경과 후 3개월 이하</v>
      </c>
    </row>
    <row r="197" spans="1:17" ht="13.95" customHeight="1" outlineLevel="3" x14ac:dyDescent="0.25">
      <c r="A197" t="s">
        <v>1</v>
      </c>
      <c r="B197" s="2">
        <v>40939</v>
      </c>
      <c r="C197" s="2">
        <v>40939</v>
      </c>
      <c r="D197" s="2">
        <v>40984</v>
      </c>
      <c r="E197" s="2"/>
      <c r="F197" t="s">
        <v>2</v>
      </c>
      <c r="G197" s="3">
        <v>45</v>
      </c>
      <c r="H197" s="4">
        <v>27683.919999999998</v>
      </c>
      <c r="I197" t="s">
        <v>3</v>
      </c>
      <c r="J197" s="6">
        <v>1400000007</v>
      </c>
      <c r="K197" t="s">
        <v>0</v>
      </c>
      <c r="L197" s="3">
        <v>3101</v>
      </c>
      <c r="M197" s="3">
        <v>3070</v>
      </c>
      <c r="N197" t="s">
        <v>4</v>
      </c>
      <c r="O197" s="6">
        <v>1050</v>
      </c>
      <c r="P197" s="12">
        <f t="shared" si="6"/>
        <v>-76</v>
      </c>
      <c r="Q197" t="str">
        <f t="shared" si="7"/>
        <v>①연체되지 않은 채권</v>
      </c>
    </row>
    <row r="198" spans="1:17" ht="13.95" customHeight="1" outlineLevel="3" x14ac:dyDescent="0.25">
      <c r="A198" t="s">
        <v>1</v>
      </c>
      <c r="B198" s="2">
        <v>41060</v>
      </c>
      <c r="C198" s="2">
        <v>41060</v>
      </c>
      <c r="D198" s="2">
        <v>41105</v>
      </c>
      <c r="E198" s="2"/>
      <c r="F198" t="s">
        <v>2</v>
      </c>
      <c r="G198" s="3">
        <v>45</v>
      </c>
      <c r="H198" s="4">
        <v>19638.55</v>
      </c>
      <c r="I198" t="s">
        <v>3</v>
      </c>
      <c r="J198" s="6">
        <v>1400000041</v>
      </c>
      <c r="K198" t="s">
        <v>0</v>
      </c>
      <c r="L198" s="3">
        <v>2980</v>
      </c>
      <c r="M198" s="3">
        <v>2949</v>
      </c>
      <c r="N198" t="s">
        <v>4</v>
      </c>
      <c r="O198" s="6">
        <v>1050</v>
      </c>
      <c r="P198" s="12">
        <f t="shared" si="6"/>
        <v>-197</v>
      </c>
      <c r="Q198" t="str">
        <f t="shared" si="7"/>
        <v>①연체되지 않은 채권</v>
      </c>
    </row>
    <row r="199" spans="1:17" ht="13.95" customHeight="1" outlineLevel="3" x14ac:dyDescent="0.25">
      <c r="A199" t="s">
        <v>1</v>
      </c>
      <c r="B199" s="2">
        <v>41060</v>
      </c>
      <c r="C199" s="2">
        <v>41060</v>
      </c>
      <c r="D199" s="2">
        <v>41105</v>
      </c>
      <c r="E199" s="2"/>
      <c r="F199" t="s">
        <v>2</v>
      </c>
      <c r="G199" s="3">
        <v>45</v>
      </c>
      <c r="H199" s="4">
        <v>49684.83</v>
      </c>
      <c r="I199" t="s">
        <v>3</v>
      </c>
      <c r="J199" s="6">
        <v>1400000040</v>
      </c>
      <c r="K199" t="s">
        <v>0</v>
      </c>
      <c r="L199" s="3">
        <v>2980</v>
      </c>
      <c r="M199" s="3">
        <v>2949</v>
      </c>
      <c r="N199" t="s">
        <v>4</v>
      </c>
      <c r="O199" s="6">
        <v>1050</v>
      </c>
      <c r="P199" s="12">
        <f t="shared" si="6"/>
        <v>-197</v>
      </c>
      <c r="Q199" t="str">
        <f t="shared" si="7"/>
        <v>①연체되지 않은 채권</v>
      </c>
    </row>
    <row r="200" spans="1:17" ht="13.95" customHeight="1" outlineLevel="3" x14ac:dyDescent="0.25">
      <c r="A200" t="s">
        <v>1</v>
      </c>
      <c r="B200" s="2">
        <v>41060</v>
      </c>
      <c r="C200" s="2">
        <v>41060</v>
      </c>
      <c r="D200" s="2">
        <v>41105</v>
      </c>
      <c r="E200" s="2"/>
      <c r="F200" t="s">
        <v>2</v>
      </c>
      <c r="G200" s="3">
        <v>45</v>
      </c>
      <c r="H200" s="4">
        <v>31433.99</v>
      </c>
      <c r="I200" t="s">
        <v>3</v>
      </c>
      <c r="J200" s="6">
        <v>1400000039</v>
      </c>
      <c r="K200" t="s">
        <v>0</v>
      </c>
      <c r="L200" s="3">
        <v>2980</v>
      </c>
      <c r="M200" s="3">
        <v>2949</v>
      </c>
      <c r="N200" t="s">
        <v>4</v>
      </c>
      <c r="O200" s="6">
        <v>1050</v>
      </c>
      <c r="P200" s="12">
        <f t="shared" si="6"/>
        <v>-197</v>
      </c>
      <c r="Q200" t="str">
        <f t="shared" si="7"/>
        <v>①연체되지 않은 채권</v>
      </c>
    </row>
    <row r="201" spans="1:17" ht="13.95" customHeight="1" outlineLevel="3" x14ac:dyDescent="0.25">
      <c r="A201" t="s">
        <v>1</v>
      </c>
      <c r="B201" s="2">
        <v>41029</v>
      </c>
      <c r="C201" s="2">
        <v>41029</v>
      </c>
      <c r="D201" s="2">
        <v>41074</v>
      </c>
      <c r="E201" s="2"/>
      <c r="F201" t="s">
        <v>2</v>
      </c>
      <c r="G201" s="3">
        <v>45</v>
      </c>
      <c r="H201" s="4">
        <v>23566.26</v>
      </c>
      <c r="I201" t="s">
        <v>3</v>
      </c>
      <c r="J201" s="6">
        <v>1400000035</v>
      </c>
      <c r="K201" t="s">
        <v>0</v>
      </c>
      <c r="L201" s="3">
        <v>3011</v>
      </c>
      <c r="M201" s="3">
        <v>2980</v>
      </c>
      <c r="N201" t="s">
        <v>4</v>
      </c>
      <c r="O201" s="6">
        <v>1050</v>
      </c>
      <c r="P201" s="12">
        <f t="shared" si="6"/>
        <v>-166</v>
      </c>
      <c r="Q201" t="str">
        <f t="shared" si="7"/>
        <v>①연체되지 않은 채권</v>
      </c>
    </row>
    <row r="202" spans="1:17" ht="13.95" customHeight="1" outlineLevel="3" x14ac:dyDescent="0.25">
      <c r="A202" t="s">
        <v>1</v>
      </c>
      <c r="B202" s="2">
        <v>41029</v>
      </c>
      <c r="C202" s="2">
        <v>41029</v>
      </c>
      <c r="D202" s="2">
        <v>41074</v>
      </c>
      <c r="E202" s="2"/>
      <c r="F202" t="s">
        <v>2</v>
      </c>
      <c r="G202" s="3">
        <v>45</v>
      </c>
      <c r="H202" s="4">
        <v>38219.1</v>
      </c>
      <c r="I202" t="s">
        <v>3</v>
      </c>
      <c r="J202" s="6">
        <v>1400000034</v>
      </c>
      <c r="K202" t="s">
        <v>0</v>
      </c>
      <c r="L202" s="3">
        <v>3011</v>
      </c>
      <c r="M202" s="3">
        <v>2980</v>
      </c>
      <c r="N202" t="s">
        <v>4</v>
      </c>
      <c r="O202" s="6">
        <v>1050</v>
      </c>
      <c r="P202" s="12">
        <f t="shared" si="6"/>
        <v>-166</v>
      </c>
      <c r="Q202" t="str">
        <f t="shared" si="7"/>
        <v>①연체되지 않은 채권</v>
      </c>
    </row>
    <row r="203" spans="1:17" ht="13.95" customHeight="1" outlineLevel="3" x14ac:dyDescent="0.25">
      <c r="A203" t="s">
        <v>1</v>
      </c>
      <c r="B203" s="2">
        <v>41029</v>
      </c>
      <c r="C203" s="2">
        <v>41029</v>
      </c>
      <c r="D203" s="2">
        <v>41074</v>
      </c>
      <c r="E203" s="2"/>
      <c r="F203" t="s">
        <v>2</v>
      </c>
      <c r="G203" s="3">
        <v>45</v>
      </c>
      <c r="H203" s="4">
        <v>45404.65</v>
      </c>
      <c r="I203" t="s">
        <v>3</v>
      </c>
      <c r="J203" s="6">
        <v>1400000033</v>
      </c>
      <c r="K203" t="s">
        <v>0</v>
      </c>
      <c r="L203" s="3">
        <v>3011</v>
      </c>
      <c r="M203" s="3">
        <v>2980</v>
      </c>
      <c r="N203" t="s">
        <v>4</v>
      </c>
      <c r="O203" s="6">
        <v>1050</v>
      </c>
      <c r="P203" s="12">
        <f t="shared" si="6"/>
        <v>-166</v>
      </c>
      <c r="Q203" t="str">
        <f t="shared" si="7"/>
        <v>①연체되지 않은 채권</v>
      </c>
    </row>
    <row r="204" spans="1:17" ht="13.95" customHeight="1" outlineLevel="3" x14ac:dyDescent="0.25">
      <c r="A204" t="s">
        <v>1</v>
      </c>
      <c r="B204" s="2">
        <v>41029</v>
      </c>
      <c r="C204" s="2">
        <v>41029</v>
      </c>
      <c r="D204" s="2">
        <v>41074</v>
      </c>
      <c r="E204" s="2"/>
      <c r="F204" t="s">
        <v>2</v>
      </c>
      <c r="G204" s="3">
        <v>45</v>
      </c>
      <c r="H204" s="4">
        <v>19638.55</v>
      </c>
      <c r="I204" t="s">
        <v>3</v>
      </c>
      <c r="J204" s="6">
        <v>1400000032</v>
      </c>
      <c r="K204" t="s">
        <v>0</v>
      </c>
      <c r="L204" s="3">
        <v>3011</v>
      </c>
      <c r="M204" s="3">
        <v>2980</v>
      </c>
      <c r="N204" t="s">
        <v>4</v>
      </c>
      <c r="O204" s="6">
        <v>1050</v>
      </c>
      <c r="P204" s="12">
        <f t="shared" si="6"/>
        <v>-166</v>
      </c>
      <c r="Q204" t="str">
        <f t="shared" si="7"/>
        <v>①연체되지 않은 채권</v>
      </c>
    </row>
    <row r="205" spans="1:17" ht="13.95" customHeight="1" outlineLevel="3" x14ac:dyDescent="0.25">
      <c r="A205" t="s">
        <v>1</v>
      </c>
      <c r="B205" s="2">
        <v>41029</v>
      </c>
      <c r="C205" s="2">
        <v>41029</v>
      </c>
      <c r="D205" s="2">
        <v>41074</v>
      </c>
      <c r="E205" s="2"/>
      <c r="F205" t="s">
        <v>2</v>
      </c>
      <c r="G205" s="3">
        <v>45</v>
      </c>
      <c r="H205" s="4">
        <v>42041.01</v>
      </c>
      <c r="I205" t="s">
        <v>3</v>
      </c>
      <c r="J205" s="6">
        <v>1400000031</v>
      </c>
      <c r="K205" t="s">
        <v>0</v>
      </c>
      <c r="L205" s="3">
        <v>3011</v>
      </c>
      <c r="M205" s="3">
        <v>2980</v>
      </c>
      <c r="N205" t="s">
        <v>4</v>
      </c>
      <c r="O205" s="6">
        <v>1050</v>
      </c>
      <c r="P205" s="12">
        <f t="shared" si="6"/>
        <v>-166</v>
      </c>
      <c r="Q205" t="str">
        <f t="shared" si="7"/>
        <v>①연체되지 않은 채권</v>
      </c>
    </row>
    <row r="206" spans="1:17" ht="13.95" customHeight="1" outlineLevel="3" x14ac:dyDescent="0.25">
      <c r="A206" t="s">
        <v>1</v>
      </c>
      <c r="B206" s="2">
        <v>41029</v>
      </c>
      <c r="C206" s="2">
        <v>41029</v>
      </c>
      <c r="D206" s="2">
        <v>41074</v>
      </c>
      <c r="E206" s="2"/>
      <c r="F206" t="s">
        <v>2</v>
      </c>
      <c r="G206" s="3">
        <v>45</v>
      </c>
      <c r="H206" s="4">
        <v>38419.32</v>
      </c>
      <c r="I206" t="s">
        <v>3</v>
      </c>
      <c r="J206" s="6">
        <v>1400000030</v>
      </c>
      <c r="K206" t="s">
        <v>0</v>
      </c>
      <c r="L206" s="3">
        <v>3011</v>
      </c>
      <c r="M206" s="3">
        <v>2980</v>
      </c>
      <c r="N206" t="s">
        <v>4</v>
      </c>
      <c r="O206" s="6">
        <v>1050</v>
      </c>
      <c r="P206" s="12">
        <f t="shared" si="6"/>
        <v>-166</v>
      </c>
      <c r="Q206" t="str">
        <f t="shared" si="7"/>
        <v>①연체되지 않은 채권</v>
      </c>
    </row>
    <row r="207" spans="1:17" ht="13.95" customHeight="1" outlineLevel="3" x14ac:dyDescent="0.25">
      <c r="A207" t="s">
        <v>1</v>
      </c>
      <c r="B207" s="2">
        <v>40999</v>
      </c>
      <c r="C207" s="2">
        <v>40999</v>
      </c>
      <c r="D207" s="2">
        <v>41044</v>
      </c>
      <c r="E207" s="2"/>
      <c r="F207" t="s">
        <v>2</v>
      </c>
      <c r="G207" s="3">
        <v>45</v>
      </c>
      <c r="H207" s="4">
        <v>31421.68</v>
      </c>
      <c r="I207" t="s">
        <v>3</v>
      </c>
      <c r="J207" s="6">
        <v>1400000026</v>
      </c>
      <c r="K207" t="s">
        <v>0</v>
      </c>
      <c r="L207" s="3">
        <v>3041</v>
      </c>
      <c r="M207" s="3">
        <v>3010</v>
      </c>
      <c r="N207" t="s">
        <v>4</v>
      </c>
      <c r="O207" s="6">
        <v>1050</v>
      </c>
      <c r="P207" s="12">
        <f t="shared" si="6"/>
        <v>-136</v>
      </c>
      <c r="Q207" t="str">
        <f t="shared" si="7"/>
        <v>①연체되지 않은 채권</v>
      </c>
    </row>
    <row r="208" spans="1:17" ht="13.95" customHeight="1" outlineLevel="3" x14ac:dyDescent="0.25">
      <c r="A208" t="s">
        <v>1</v>
      </c>
      <c r="B208" s="2">
        <v>40999</v>
      </c>
      <c r="C208" s="2">
        <v>40999</v>
      </c>
      <c r="D208" s="2">
        <v>41044</v>
      </c>
      <c r="E208" s="2"/>
      <c r="F208" t="s">
        <v>2</v>
      </c>
      <c r="G208" s="3">
        <v>45</v>
      </c>
      <c r="H208" s="4">
        <v>34397.19</v>
      </c>
      <c r="I208" t="s">
        <v>3</v>
      </c>
      <c r="J208" s="6">
        <v>1400000025</v>
      </c>
      <c r="K208" t="s">
        <v>0</v>
      </c>
      <c r="L208" s="3">
        <v>3041</v>
      </c>
      <c r="M208" s="3">
        <v>3010</v>
      </c>
      <c r="N208" t="s">
        <v>4</v>
      </c>
      <c r="O208" s="6">
        <v>1050</v>
      </c>
      <c r="P208" s="12">
        <f t="shared" si="6"/>
        <v>-136</v>
      </c>
      <c r="Q208" t="str">
        <f t="shared" si="7"/>
        <v>①연체되지 않은 채권</v>
      </c>
    </row>
    <row r="209" spans="1:17" ht="13.95" customHeight="1" outlineLevel="3" x14ac:dyDescent="0.25">
      <c r="A209" t="s">
        <v>1</v>
      </c>
      <c r="B209" s="2">
        <v>40999</v>
      </c>
      <c r="C209" s="2">
        <v>40999</v>
      </c>
      <c r="D209" s="2">
        <v>41044</v>
      </c>
      <c r="E209" s="2"/>
      <c r="F209" t="s">
        <v>2</v>
      </c>
      <c r="G209" s="3">
        <v>45</v>
      </c>
      <c r="H209" s="4">
        <v>38419.32</v>
      </c>
      <c r="I209" t="s">
        <v>3</v>
      </c>
      <c r="J209" s="6">
        <v>1400000024</v>
      </c>
      <c r="K209" t="s">
        <v>0</v>
      </c>
      <c r="L209" s="3">
        <v>3041</v>
      </c>
      <c r="M209" s="3">
        <v>3010</v>
      </c>
      <c r="N209" t="s">
        <v>4</v>
      </c>
      <c r="O209" s="6">
        <v>1050</v>
      </c>
      <c r="P209" s="12">
        <f t="shared" si="6"/>
        <v>-136</v>
      </c>
      <c r="Q209" t="str">
        <f t="shared" si="7"/>
        <v>①연체되지 않은 채권</v>
      </c>
    </row>
    <row r="210" spans="1:17" ht="13.95" customHeight="1" outlineLevel="3" x14ac:dyDescent="0.25">
      <c r="A210" t="s">
        <v>1</v>
      </c>
      <c r="B210" s="2">
        <v>40999</v>
      </c>
      <c r="C210" s="2">
        <v>40999</v>
      </c>
      <c r="D210" s="2">
        <v>41044</v>
      </c>
      <c r="E210" s="2"/>
      <c r="F210" t="s">
        <v>2</v>
      </c>
      <c r="G210" s="3">
        <v>45</v>
      </c>
      <c r="H210" s="4">
        <v>27493.97</v>
      </c>
      <c r="I210" t="s">
        <v>3</v>
      </c>
      <c r="J210" s="6">
        <v>1400000023</v>
      </c>
      <c r="K210" t="s">
        <v>0</v>
      </c>
      <c r="L210" s="3">
        <v>3041</v>
      </c>
      <c r="M210" s="3">
        <v>3010</v>
      </c>
      <c r="N210" t="s">
        <v>4</v>
      </c>
      <c r="O210" s="6">
        <v>1050</v>
      </c>
      <c r="P210" s="12">
        <f t="shared" si="6"/>
        <v>-136</v>
      </c>
      <c r="Q210" t="str">
        <f t="shared" si="7"/>
        <v>①연체되지 않은 채권</v>
      </c>
    </row>
    <row r="211" spans="1:17" ht="13.95" customHeight="1" outlineLevel="3" x14ac:dyDescent="0.25">
      <c r="A211" t="s">
        <v>1</v>
      </c>
      <c r="B211" s="2">
        <v>40999</v>
      </c>
      <c r="C211" s="2">
        <v>40999</v>
      </c>
      <c r="D211" s="2">
        <v>41044</v>
      </c>
      <c r="E211" s="2"/>
      <c r="F211" t="s">
        <v>2</v>
      </c>
      <c r="G211" s="3">
        <v>45</v>
      </c>
      <c r="H211" s="4">
        <v>30575.279999999999</v>
      </c>
      <c r="I211" t="s">
        <v>3</v>
      </c>
      <c r="J211" s="6">
        <v>1400000022</v>
      </c>
      <c r="K211" t="s">
        <v>0</v>
      </c>
      <c r="L211" s="3">
        <v>3041</v>
      </c>
      <c r="M211" s="3">
        <v>3010</v>
      </c>
      <c r="N211" t="s">
        <v>4</v>
      </c>
      <c r="O211" s="6">
        <v>1050</v>
      </c>
      <c r="P211" s="12">
        <f t="shared" si="6"/>
        <v>-136</v>
      </c>
      <c r="Q211" t="str">
        <f t="shared" si="7"/>
        <v>①연체되지 않은 채권</v>
      </c>
    </row>
    <row r="212" spans="1:17" ht="13.95" customHeight="1" outlineLevel="3" x14ac:dyDescent="0.25">
      <c r="A212" t="s">
        <v>1</v>
      </c>
      <c r="B212" s="2">
        <v>40999</v>
      </c>
      <c r="C212" s="2">
        <v>40999</v>
      </c>
      <c r="D212" s="2">
        <v>41044</v>
      </c>
      <c r="E212" s="2"/>
      <c r="F212" t="s">
        <v>2</v>
      </c>
      <c r="G212" s="3">
        <v>45</v>
      </c>
      <c r="H212" s="4">
        <v>45404.65</v>
      </c>
      <c r="I212" t="s">
        <v>3</v>
      </c>
      <c r="J212" s="6">
        <v>1400000021</v>
      </c>
      <c r="K212" t="s">
        <v>0</v>
      </c>
      <c r="L212" s="3">
        <v>3041</v>
      </c>
      <c r="M212" s="3">
        <v>3010</v>
      </c>
      <c r="N212" t="s">
        <v>4</v>
      </c>
      <c r="O212" s="6">
        <v>1050</v>
      </c>
      <c r="P212" s="12">
        <f t="shared" si="6"/>
        <v>-136</v>
      </c>
      <c r="Q212" t="str">
        <f t="shared" si="7"/>
        <v>①연체되지 않은 채권</v>
      </c>
    </row>
    <row r="213" spans="1:17" ht="13.95" customHeight="1" outlineLevel="3" x14ac:dyDescent="0.25">
      <c r="A213" t="s">
        <v>1</v>
      </c>
      <c r="B213" s="2">
        <v>40968</v>
      </c>
      <c r="C213" s="2">
        <v>40968</v>
      </c>
      <c r="D213" s="2">
        <v>41013</v>
      </c>
      <c r="E213" s="2"/>
      <c r="F213" t="s">
        <v>2</v>
      </c>
      <c r="G213" s="3">
        <v>45</v>
      </c>
      <c r="H213" s="4">
        <v>40643.26</v>
      </c>
      <c r="I213" t="s">
        <v>3</v>
      </c>
      <c r="J213" s="6">
        <v>1400000017</v>
      </c>
      <c r="K213" t="s">
        <v>0</v>
      </c>
      <c r="L213" s="3">
        <v>3072</v>
      </c>
      <c r="M213" s="3">
        <v>3041</v>
      </c>
      <c r="N213" t="s">
        <v>4</v>
      </c>
      <c r="O213" s="6">
        <v>1050</v>
      </c>
      <c r="P213" s="12">
        <f t="shared" si="6"/>
        <v>-105</v>
      </c>
      <c r="Q213" t="str">
        <f t="shared" si="7"/>
        <v>①연체되지 않은 채권</v>
      </c>
    </row>
    <row r="214" spans="1:17" ht="13.95" customHeight="1" outlineLevel="3" x14ac:dyDescent="0.25">
      <c r="A214" t="s">
        <v>1</v>
      </c>
      <c r="B214" s="2">
        <v>40968</v>
      </c>
      <c r="C214" s="2">
        <v>40968</v>
      </c>
      <c r="D214" s="2">
        <v>41013</v>
      </c>
      <c r="E214" s="2"/>
      <c r="F214" t="s">
        <v>2</v>
      </c>
      <c r="G214" s="3">
        <v>45</v>
      </c>
      <c r="H214" s="4">
        <v>31638.77</v>
      </c>
      <c r="I214" t="s">
        <v>3</v>
      </c>
      <c r="J214" s="6">
        <v>1400000016</v>
      </c>
      <c r="K214" t="s">
        <v>0</v>
      </c>
      <c r="L214" s="3">
        <v>3072</v>
      </c>
      <c r="M214" s="3">
        <v>3041</v>
      </c>
      <c r="N214" t="s">
        <v>4</v>
      </c>
      <c r="O214" s="6">
        <v>1050</v>
      </c>
      <c r="P214" s="12">
        <f t="shared" si="6"/>
        <v>-105</v>
      </c>
      <c r="Q214" t="str">
        <f t="shared" si="7"/>
        <v>①연체되지 않은 채권</v>
      </c>
    </row>
    <row r="215" spans="1:17" ht="13.95" customHeight="1" outlineLevel="3" x14ac:dyDescent="0.25">
      <c r="A215" t="s">
        <v>1</v>
      </c>
      <c r="B215" s="2">
        <v>40968</v>
      </c>
      <c r="C215" s="2">
        <v>40968</v>
      </c>
      <c r="D215" s="2">
        <v>41013</v>
      </c>
      <c r="E215" s="2"/>
      <c r="F215" t="s">
        <v>2</v>
      </c>
      <c r="G215" s="3">
        <v>45</v>
      </c>
      <c r="H215" s="4">
        <v>43369.79</v>
      </c>
      <c r="I215" t="s">
        <v>3</v>
      </c>
      <c r="J215" s="6">
        <v>1400000015</v>
      </c>
      <c r="K215" t="s">
        <v>0</v>
      </c>
      <c r="L215" s="3">
        <v>3072</v>
      </c>
      <c r="M215" s="3">
        <v>3041</v>
      </c>
      <c r="N215" t="s">
        <v>4</v>
      </c>
      <c r="O215" s="6">
        <v>1050</v>
      </c>
      <c r="P215" s="12">
        <f t="shared" si="6"/>
        <v>-105</v>
      </c>
      <c r="Q215" t="str">
        <f t="shared" si="7"/>
        <v>①연체되지 않은 채권</v>
      </c>
    </row>
    <row r="216" spans="1:17" ht="13.95" customHeight="1" outlineLevel="3" x14ac:dyDescent="0.25">
      <c r="A216" t="s">
        <v>1</v>
      </c>
      <c r="B216" s="2">
        <v>40968</v>
      </c>
      <c r="C216" s="2">
        <v>40968</v>
      </c>
      <c r="D216" s="2">
        <v>41013</v>
      </c>
      <c r="E216" s="2"/>
      <c r="F216" t="s">
        <v>2</v>
      </c>
      <c r="G216" s="3">
        <v>45</v>
      </c>
      <c r="H216" s="4">
        <v>36578.93</v>
      </c>
      <c r="I216" t="s">
        <v>3</v>
      </c>
      <c r="J216" s="6">
        <v>1400000014</v>
      </c>
      <c r="K216" t="s">
        <v>0</v>
      </c>
      <c r="L216" s="3">
        <v>3072</v>
      </c>
      <c r="M216" s="3">
        <v>3041</v>
      </c>
      <c r="N216" t="s">
        <v>4</v>
      </c>
      <c r="O216" s="6">
        <v>1050</v>
      </c>
      <c r="P216" s="12">
        <f t="shared" si="6"/>
        <v>-105</v>
      </c>
      <c r="Q216" t="str">
        <f t="shared" si="7"/>
        <v>①연체되지 않은 채권</v>
      </c>
    </row>
    <row r="217" spans="1:17" ht="13.95" customHeight="1" outlineLevel="3" x14ac:dyDescent="0.25">
      <c r="A217" t="s">
        <v>1</v>
      </c>
      <c r="B217" s="2">
        <v>40968</v>
      </c>
      <c r="C217" s="2">
        <v>40968</v>
      </c>
      <c r="D217" s="2">
        <v>41013</v>
      </c>
      <c r="E217" s="2"/>
      <c r="F217" t="s">
        <v>2</v>
      </c>
      <c r="G217" s="3">
        <v>45</v>
      </c>
      <c r="H217" s="4">
        <v>23729.08</v>
      </c>
      <c r="I217" t="s">
        <v>3</v>
      </c>
      <c r="J217" s="6">
        <v>1400000013</v>
      </c>
      <c r="K217" t="s">
        <v>0</v>
      </c>
      <c r="L217" s="3">
        <v>3072</v>
      </c>
      <c r="M217" s="3">
        <v>3041</v>
      </c>
      <c r="N217" t="s">
        <v>4</v>
      </c>
      <c r="O217" s="6">
        <v>1050</v>
      </c>
      <c r="P217" s="12">
        <f t="shared" si="6"/>
        <v>-105</v>
      </c>
      <c r="Q217" t="str">
        <f t="shared" si="7"/>
        <v>①연체되지 않은 채권</v>
      </c>
    </row>
    <row r="218" spans="1:17" ht="13.95" customHeight="1" outlineLevel="3" x14ac:dyDescent="0.25">
      <c r="A218" t="s">
        <v>1</v>
      </c>
      <c r="B218" s="2">
        <v>40968</v>
      </c>
      <c r="C218" s="2">
        <v>40968</v>
      </c>
      <c r="D218" s="2">
        <v>41013</v>
      </c>
      <c r="E218" s="2"/>
      <c r="F218" t="s">
        <v>2</v>
      </c>
      <c r="G218" s="3">
        <v>45</v>
      </c>
      <c r="H218" s="4">
        <v>50598.09</v>
      </c>
      <c r="I218" t="s">
        <v>3</v>
      </c>
      <c r="J218" s="6">
        <v>1400000012</v>
      </c>
      <c r="K218" t="s">
        <v>0</v>
      </c>
      <c r="L218" s="3">
        <v>3072</v>
      </c>
      <c r="M218" s="3">
        <v>3041</v>
      </c>
      <c r="N218" t="s">
        <v>4</v>
      </c>
      <c r="O218" s="6">
        <v>1050</v>
      </c>
      <c r="P218" s="12">
        <f t="shared" si="6"/>
        <v>-105</v>
      </c>
      <c r="Q218" t="str">
        <f t="shared" si="7"/>
        <v>①연체되지 않은 채권</v>
      </c>
    </row>
    <row r="219" spans="1:17" ht="13.95" customHeight="1" outlineLevel="3" x14ac:dyDescent="0.25">
      <c r="A219" t="s">
        <v>1</v>
      </c>
      <c r="B219" s="2">
        <v>40939</v>
      </c>
      <c r="C219" s="2">
        <v>40939</v>
      </c>
      <c r="D219" s="2">
        <v>40984</v>
      </c>
      <c r="E219" s="2"/>
      <c r="F219" t="s">
        <v>2</v>
      </c>
      <c r="G219" s="3">
        <v>45</v>
      </c>
      <c r="H219" s="4">
        <v>36578.93</v>
      </c>
      <c r="I219" t="s">
        <v>3</v>
      </c>
      <c r="J219" s="6">
        <v>1400000008</v>
      </c>
      <c r="K219" t="s">
        <v>0</v>
      </c>
      <c r="L219" s="3">
        <v>3101</v>
      </c>
      <c r="M219" s="3">
        <v>3070</v>
      </c>
      <c r="N219" t="s">
        <v>4</v>
      </c>
      <c r="O219" s="6">
        <v>1050</v>
      </c>
      <c r="P219" s="12">
        <f t="shared" si="6"/>
        <v>-76</v>
      </c>
      <c r="Q219" t="str">
        <f t="shared" si="7"/>
        <v>①연체되지 않은 채권</v>
      </c>
    </row>
    <row r="220" spans="1:17" ht="13.95" customHeight="1" outlineLevel="3" x14ac:dyDescent="0.25">
      <c r="A220" t="s">
        <v>1</v>
      </c>
      <c r="B220" s="2">
        <v>40724</v>
      </c>
      <c r="C220" s="2">
        <v>40724</v>
      </c>
      <c r="D220" s="2">
        <v>40769</v>
      </c>
      <c r="E220" s="2"/>
      <c r="F220" t="s">
        <v>2</v>
      </c>
      <c r="G220" s="3">
        <v>45</v>
      </c>
      <c r="H220" s="4">
        <v>28913.19</v>
      </c>
      <c r="I220" t="s">
        <v>3</v>
      </c>
      <c r="J220" s="6">
        <v>1400000049</v>
      </c>
      <c r="K220" t="s">
        <v>0</v>
      </c>
      <c r="L220" s="3">
        <v>3316</v>
      </c>
      <c r="M220" s="3">
        <v>3285</v>
      </c>
      <c r="N220" t="s">
        <v>4</v>
      </c>
      <c r="O220" s="6">
        <v>1050</v>
      </c>
      <c r="P220" s="12">
        <f t="shared" si="6"/>
        <v>139</v>
      </c>
      <c r="Q220" t="str">
        <f t="shared" si="7"/>
        <v>③만기경과 후 4~6개월</v>
      </c>
    </row>
    <row r="221" spans="1:17" ht="13.95" customHeight="1" outlineLevel="3" x14ac:dyDescent="0.25">
      <c r="A221" t="s">
        <v>1</v>
      </c>
      <c r="B221" s="2">
        <v>40694</v>
      </c>
      <c r="C221" s="2">
        <v>40694</v>
      </c>
      <c r="D221" s="2">
        <v>40739</v>
      </c>
      <c r="E221" s="2"/>
      <c r="F221" t="s">
        <v>2</v>
      </c>
      <c r="G221" s="3">
        <v>45</v>
      </c>
      <c r="H221" s="4">
        <v>16257.3</v>
      </c>
      <c r="I221" t="s">
        <v>3</v>
      </c>
      <c r="J221" s="6">
        <v>1400000045</v>
      </c>
      <c r="K221" t="s">
        <v>0</v>
      </c>
      <c r="L221" s="3">
        <v>3346</v>
      </c>
      <c r="M221" s="3">
        <v>3315</v>
      </c>
      <c r="N221" t="s">
        <v>4</v>
      </c>
      <c r="O221" s="6">
        <v>1050</v>
      </c>
      <c r="P221" s="12">
        <f t="shared" si="6"/>
        <v>169</v>
      </c>
      <c r="Q221" t="str">
        <f t="shared" si="7"/>
        <v>③만기경과 후 4~6개월</v>
      </c>
    </row>
    <row r="222" spans="1:17" ht="13.95" customHeight="1" outlineLevel="3" x14ac:dyDescent="0.25">
      <c r="A222" t="s">
        <v>1</v>
      </c>
      <c r="B222" s="2">
        <v>40694</v>
      </c>
      <c r="C222" s="2">
        <v>40694</v>
      </c>
      <c r="D222" s="2">
        <v>40739</v>
      </c>
      <c r="E222" s="2"/>
      <c r="F222" t="s">
        <v>2</v>
      </c>
      <c r="G222" s="3">
        <v>45</v>
      </c>
      <c r="H222" s="4">
        <v>47458.15</v>
      </c>
      <c r="I222" t="s">
        <v>3</v>
      </c>
      <c r="J222" s="6">
        <v>1400000044</v>
      </c>
      <c r="K222" t="s">
        <v>0</v>
      </c>
      <c r="L222" s="3">
        <v>3346</v>
      </c>
      <c r="M222" s="3">
        <v>3315</v>
      </c>
      <c r="N222" t="s">
        <v>4</v>
      </c>
      <c r="O222" s="6">
        <v>1050</v>
      </c>
      <c r="P222" s="12">
        <f t="shared" si="6"/>
        <v>169</v>
      </c>
      <c r="Q222" t="str">
        <f t="shared" si="7"/>
        <v>③만기경과 후 4~6개월</v>
      </c>
    </row>
    <row r="223" spans="1:17" ht="13.95" customHeight="1" outlineLevel="3" x14ac:dyDescent="0.25">
      <c r="A223" t="s">
        <v>1</v>
      </c>
      <c r="B223" s="2">
        <v>40694</v>
      </c>
      <c r="C223" s="2">
        <v>40694</v>
      </c>
      <c r="D223" s="2">
        <v>40739</v>
      </c>
      <c r="E223" s="2"/>
      <c r="F223" t="s">
        <v>2</v>
      </c>
      <c r="G223" s="3">
        <v>45</v>
      </c>
      <c r="H223" s="4">
        <v>36141.49</v>
      </c>
      <c r="I223" t="s">
        <v>3</v>
      </c>
      <c r="J223" s="6">
        <v>1400000043</v>
      </c>
      <c r="K223" t="s">
        <v>0</v>
      </c>
      <c r="L223" s="3">
        <v>3346</v>
      </c>
      <c r="M223" s="3">
        <v>3315</v>
      </c>
      <c r="N223" t="s">
        <v>4</v>
      </c>
      <c r="O223" s="6">
        <v>1050</v>
      </c>
      <c r="P223" s="12">
        <f t="shared" si="6"/>
        <v>169</v>
      </c>
      <c r="Q223" t="str">
        <f t="shared" si="7"/>
        <v>③만기경과 후 4~6개월</v>
      </c>
    </row>
    <row r="224" spans="1:17" ht="13.95" customHeight="1" outlineLevel="3" x14ac:dyDescent="0.25">
      <c r="A224" t="s">
        <v>1</v>
      </c>
      <c r="B224" s="2">
        <v>40694</v>
      </c>
      <c r="C224" s="2">
        <v>40694</v>
      </c>
      <c r="D224" s="2">
        <v>40739</v>
      </c>
      <c r="E224" s="2"/>
      <c r="F224" t="s">
        <v>2</v>
      </c>
      <c r="G224" s="3">
        <v>45</v>
      </c>
      <c r="H224" s="4">
        <v>20321.63</v>
      </c>
      <c r="I224" t="s">
        <v>3</v>
      </c>
      <c r="J224" s="6">
        <v>1400000042</v>
      </c>
      <c r="K224" t="s">
        <v>0</v>
      </c>
      <c r="L224" s="3">
        <v>3346</v>
      </c>
      <c r="M224" s="3">
        <v>3315</v>
      </c>
      <c r="N224" t="s">
        <v>4</v>
      </c>
      <c r="O224" s="6">
        <v>1050</v>
      </c>
      <c r="P224" s="12">
        <f t="shared" si="6"/>
        <v>169</v>
      </c>
      <c r="Q224" t="str">
        <f t="shared" si="7"/>
        <v>③만기경과 후 4~6개월</v>
      </c>
    </row>
    <row r="225" spans="1:17" ht="13.95" customHeight="1" outlineLevel="3" x14ac:dyDescent="0.25">
      <c r="A225" t="s">
        <v>1</v>
      </c>
      <c r="B225" s="2">
        <v>40694</v>
      </c>
      <c r="C225" s="2">
        <v>40694</v>
      </c>
      <c r="D225" s="2">
        <v>40739</v>
      </c>
      <c r="E225" s="2"/>
      <c r="F225" t="s">
        <v>2</v>
      </c>
      <c r="G225" s="3">
        <v>45</v>
      </c>
      <c r="H225" s="4">
        <v>51413</v>
      </c>
      <c r="I225" t="s">
        <v>3</v>
      </c>
      <c r="J225" s="6">
        <v>1400000041</v>
      </c>
      <c r="K225" t="s">
        <v>0</v>
      </c>
      <c r="L225" s="3">
        <v>3346</v>
      </c>
      <c r="M225" s="3">
        <v>3315</v>
      </c>
      <c r="N225" t="s">
        <v>4</v>
      </c>
      <c r="O225" s="6">
        <v>1050</v>
      </c>
      <c r="P225" s="12">
        <f t="shared" si="6"/>
        <v>169</v>
      </c>
      <c r="Q225" t="str">
        <f t="shared" si="7"/>
        <v>③만기경과 후 4~6개월</v>
      </c>
    </row>
    <row r="226" spans="1:17" ht="13.95" customHeight="1" outlineLevel="3" x14ac:dyDescent="0.25">
      <c r="A226" t="s">
        <v>1</v>
      </c>
      <c r="B226" s="2">
        <v>40694</v>
      </c>
      <c r="C226" s="2">
        <v>40694</v>
      </c>
      <c r="D226" s="2">
        <v>40739</v>
      </c>
      <c r="E226" s="2"/>
      <c r="F226" t="s">
        <v>2</v>
      </c>
      <c r="G226" s="3">
        <v>45</v>
      </c>
      <c r="H226" s="4">
        <v>32527.34</v>
      </c>
      <c r="I226" t="s">
        <v>3</v>
      </c>
      <c r="J226" s="6">
        <v>1400000040</v>
      </c>
      <c r="K226" t="s">
        <v>0</v>
      </c>
      <c r="L226" s="3">
        <v>3346</v>
      </c>
      <c r="M226" s="3">
        <v>3315</v>
      </c>
      <c r="N226" t="s">
        <v>4</v>
      </c>
      <c r="O226" s="6">
        <v>1050</v>
      </c>
      <c r="P226" s="12">
        <f t="shared" si="6"/>
        <v>169</v>
      </c>
      <c r="Q226" t="str">
        <f t="shared" si="7"/>
        <v>③만기경과 후 4~6개월</v>
      </c>
    </row>
    <row r="227" spans="1:17" ht="13.95" customHeight="1" outlineLevel="3" x14ac:dyDescent="0.25">
      <c r="A227" t="s">
        <v>1</v>
      </c>
      <c r="B227" s="2">
        <v>40663</v>
      </c>
      <c r="C227" s="2">
        <v>40663</v>
      </c>
      <c r="D227" s="2">
        <v>40708</v>
      </c>
      <c r="E227" s="2"/>
      <c r="F227" t="s">
        <v>2</v>
      </c>
      <c r="G227" s="3">
        <v>45</v>
      </c>
      <c r="H227" s="4">
        <v>24385.96</v>
      </c>
      <c r="I227" t="s">
        <v>3</v>
      </c>
      <c r="J227" s="6">
        <v>1400000035</v>
      </c>
      <c r="K227" t="s">
        <v>0</v>
      </c>
      <c r="L227" s="3">
        <v>3377</v>
      </c>
      <c r="M227" s="3">
        <v>3346</v>
      </c>
      <c r="N227" t="s">
        <v>4</v>
      </c>
      <c r="O227" s="6">
        <v>1050</v>
      </c>
      <c r="P227" s="12">
        <f t="shared" si="6"/>
        <v>200</v>
      </c>
      <c r="Q227" t="str">
        <f t="shared" si="7"/>
        <v>④만기경과 후 7~12개월</v>
      </c>
    </row>
    <row r="228" spans="1:17" ht="13.95" customHeight="1" outlineLevel="3" x14ac:dyDescent="0.25">
      <c r="A228" t="s">
        <v>1</v>
      </c>
      <c r="B228" s="2">
        <v>40663</v>
      </c>
      <c r="C228" s="2">
        <v>40663</v>
      </c>
      <c r="D228" s="2">
        <v>40708</v>
      </c>
      <c r="E228" s="2"/>
      <c r="F228" t="s">
        <v>2</v>
      </c>
      <c r="G228" s="3">
        <v>45</v>
      </c>
      <c r="H228" s="4">
        <v>39548.46</v>
      </c>
      <c r="I228" t="s">
        <v>3</v>
      </c>
      <c r="J228" s="6">
        <v>1400000034</v>
      </c>
      <c r="K228" t="s">
        <v>0</v>
      </c>
      <c r="L228" s="3">
        <v>3377</v>
      </c>
      <c r="M228" s="3">
        <v>3346</v>
      </c>
      <c r="N228" t="s">
        <v>4</v>
      </c>
      <c r="O228" s="6">
        <v>1050</v>
      </c>
      <c r="P228" s="12">
        <f t="shared" si="6"/>
        <v>200</v>
      </c>
      <c r="Q228" t="str">
        <f t="shared" si="7"/>
        <v>④만기경과 후 7~12개월</v>
      </c>
    </row>
    <row r="229" spans="1:17" ht="13.95" customHeight="1" outlineLevel="3" x14ac:dyDescent="0.25">
      <c r="A229" t="s">
        <v>1</v>
      </c>
      <c r="B229" s="2">
        <v>40663</v>
      </c>
      <c r="C229" s="2">
        <v>40663</v>
      </c>
      <c r="D229" s="2">
        <v>40708</v>
      </c>
      <c r="E229" s="2"/>
      <c r="F229" t="s">
        <v>2</v>
      </c>
      <c r="G229" s="3">
        <v>45</v>
      </c>
      <c r="H229" s="4">
        <v>46983.94</v>
      </c>
      <c r="I229" t="s">
        <v>3</v>
      </c>
      <c r="J229" s="6">
        <v>1400000033</v>
      </c>
      <c r="K229" t="s">
        <v>0</v>
      </c>
      <c r="L229" s="3">
        <v>3377</v>
      </c>
      <c r="M229" s="3">
        <v>3346</v>
      </c>
      <c r="N229" t="s">
        <v>4</v>
      </c>
      <c r="O229" s="6">
        <v>1050</v>
      </c>
      <c r="P229" s="12">
        <f t="shared" si="6"/>
        <v>200</v>
      </c>
      <c r="Q229" t="str">
        <f t="shared" si="7"/>
        <v>④만기경과 후 7~12개월</v>
      </c>
    </row>
    <row r="230" spans="1:17" ht="13.95" customHeight="1" outlineLevel="3" x14ac:dyDescent="0.25">
      <c r="A230" t="s">
        <v>1</v>
      </c>
      <c r="B230" s="2">
        <v>40663</v>
      </c>
      <c r="C230" s="2">
        <v>40663</v>
      </c>
      <c r="D230" s="2">
        <v>40708</v>
      </c>
      <c r="E230" s="2"/>
      <c r="F230" t="s">
        <v>2</v>
      </c>
      <c r="G230" s="3">
        <v>45</v>
      </c>
      <c r="H230" s="4">
        <v>20321.63</v>
      </c>
      <c r="I230" t="s">
        <v>3</v>
      </c>
      <c r="J230" s="6">
        <v>1400000032</v>
      </c>
      <c r="K230" t="s">
        <v>0</v>
      </c>
      <c r="L230" s="3">
        <v>3377</v>
      </c>
      <c r="M230" s="3">
        <v>3346</v>
      </c>
      <c r="N230" t="s">
        <v>4</v>
      </c>
      <c r="O230" s="6">
        <v>1050</v>
      </c>
      <c r="P230" s="12">
        <f t="shared" si="6"/>
        <v>200</v>
      </c>
      <c r="Q230" t="str">
        <f t="shared" si="7"/>
        <v>④만기경과 후 7~12개월</v>
      </c>
    </row>
    <row r="231" spans="1:17" ht="13.95" customHeight="1" outlineLevel="3" x14ac:dyDescent="0.25">
      <c r="A231" t="s">
        <v>1</v>
      </c>
      <c r="B231" s="2">
        <v>40663</v>
      </c>
      <c r="C231" s="2">
        <v>40663</v>
      </c>
      <c r="D231" s="2">
        <v>40708</v>
      </c>
      <c r="E231" s="2"/>
      <c r="F231" t="s">
        <v>2</v>
      </c>
      <c r="G231" s="3">
        <v>45</v>
      </c>
      <c r="H231" s="4">
        <v>43503.31</v>
      </c>
      <c r="I231" t="s">
        <v>3</v>
      </c>
      <c r="J231" s="6">
        <v>1400000031</v>
      </c>
      <c r="K231" t="s">
        <v>0</v>
      </c>
      <c r="L231" s="3">
        <v>3377</v>
      </c>
      <c r="M231" s="3">
        <v>3346</v>
      </c>
      <c r="N231" t="s">
        <v>4</v>
      </c>
      <c r="O231" s="6">
        <v>1050</v>
      </c>
      <c r="P231" s="12">
        <f t="shared" si="6"/>
        <v>200</v>
      </c>
      <c r="Q231" t="str">
        <f t="shared" si="7"/>
        <v>④만기경과 후 7~12개월</v>
      </c>
    </row>
    <row r="232" spans="1:17" ht="13.95" customHeight="1" outlineLevel="3" x14ac:dyDescent="0.25">
      <c r="A232" t="s">
        <v>1</v>
      </c>
      <c r="B232" s="2">
        <v>40663</v>
      </c>
      <c r="C232" s="2">
        <v>40663</v>
      </c>
      <c r="D232" s="2">
        <v>40708</v>
      </c>
      <c r="E232" s="2"/>
      <c r="F232" t="s">
        <v>2</v>
      </c>
      <c r="G232" s="3">
        <v>45</v>
      </c>
      <c r="H232" s="4">
        <v>39755.64</v>
      </c>
      <c r="I232" t="s">
        <v>3</v>
      </c>
      <c r="J232" s="6">
        <v>1400000030</v>
      </c>
      <c r="K232" t="s">
        <v>0</v>
      </c>
      <c r="L232" s="3">
        <v>3377</v>
      </c>
      <c r="M232" s="3">
        <v>3346</v>
      </c>
      <c r="N232" t="s">
        <v>4</v>
      </c>
      <c r="O232" s="6">
        <v>1050</v>
      </c>
      <c r="P232" s="12">
        <f t="shared" si="6"/>
        <v>200</v>
      </c>
      <c r="Q232" t="str">
        <f t="shared" si="7"/>
        <v>④만기경과 후 7~12개월</v>
      </c>
    </row>
    <row r="233" spans="1:17" ht="13.95" customHeight="1" outlineLevel="3" x14ac:dyDescent="0.25">
      <c r="A233" t="s">
        <v>1</v>
      </c>
      <c r="B233" s="2">
        <v>40633</v>
      </c>
      <c r="C233" s="2">
        <v>40633</v>
      </c>
      <c r="D233" s="2">
        <v>40678</v>
      </c>
      <c r="E233" s="2"/>
      <c r="F233" t="s">
        <v>2</v>
      </c>
      <c r="G233" s="3">
        <v>45</v>
      </c>
      <c r="H233" s="4">
        <v>32514.61</v>
      </c>
      <c r="I233" t="s">
        <v>3</v>
      </c>
      <c r="J233" s="6">
        <v>1400000026</v>
      </c>
      <c r="K233" t="s">
        <v>0</v>
      </c>
      <c r="L233" s="3">
        <v>3407</v>
      </c>
      <c r="M233" s="3">
        <v>3376</v>
      </c>
      <c r="N233" t="s">
        <v>4</v>
      </c>
      <c r="O233" s="6">
        <v>1050</v>
      </c>
      <c r="P233" s="12">
        <f t="shared" si="6"/>
        <v>230</v>
      </c>
      <c r="Q233" t="str">
        <f t="shared" si="7"/>
        <v>④만기경과 후 7~12개월</v>
      </c>
    </row>
    <row r="234" spans="1:17" ht="13.95" customHeight="1" outlineLevel="3" x14ac:dyDescent="0.25">
      <c r="A234" t="s">
        <v>1</v>
      </c>
      <c r="B234" s="2">
        <v>40633</v>
      </c>
      <c r="C234" s="2">
        <v>40633</v>
      </c>
      <c r="D234" s="2">
        <v>40678</v>
      </c>
      <c r="E234" s="2"/>
      <c r="F234" t="s">
        <v>2</v>
      </c>
      <c r="G234" s="3">
        <v>45</v>
      </c>
      <c r="H234" s="4">
        <v>35593.61</v>
      </c>
      <c r="I234" t="s">
        <v>3</v>
      </c>
      <c r="J234" s="6">
        <v>1400000025</v>
      </c>
      <c r="K234" t="s">
        <v>0</v>
      </c>
      <c r="L234" s="3">
        <v>3407</v>
      </c>
      <c r="M234" s="3">
        <v>3376</v>
      </c>
      <c r="N234" t="s">
        <v>4</v>
      </c>
      <c r="O234" s="6">
        <v>1050</v>
      </c>
      <c r="P234" s="12">
        <f t="shared" si="6"/>
        <v>230</v>
      </c>
      <c r="Q234" t="str">
        <f t="shared" si="7"/>
        <v>④만기경과 후 7~12개월</v>
      </c>
    </row>
    <row r="235" spans="1:17" ht="13.95" customHeight="1" outlineLevel="3" x14ac:dyDescent="0.25">
      <c r="A235" t="s">
        <v>1</v>
      </c>
      <c r="B235" s="2">
        <v>40633</v>
      </c>
      <c r="C235" s="2">
        <v>40633</v>
      </c>
      <c r="D235" s="2">
        <v>40678</v>
      </c>
      <c r="E235" s="2"/>
      <c r="F235" t="s">
        <v>2</v>
      </c>
      <c r="G235" s="3">
        <v>45</v>
      </c>
      <c r="H235" s="4">
        <v>39755.64</v>
      </c>
      <c r="I235" t="s">
        <v>3</v>
      </c>
      <c r="J235" s="6">
        <v>1400000024</v>
      </c>
      <c r="K235" t="s">
        <v>0</v>
      </c>
      <c r="L235" s="3">
        <v>3407</v>
      </c>
      <c r="M235" s="3">
        <v>3376</v>
      </c>
      <c r="N235" t="s">
        <v>4</v>
      </c>
      <c r="O235" s="6">
        <v>1050</v>
      </c>
      <c r="P235" s="12">
        <f t="shared" si="6"/>
        <v>230</v>
      </c>
      <c r="Q235" t="str">
        <f t="shared" si="7"/>
        <v>④만기경과 후 7~12개월</v>
      </c>
    </row>
    <row r="236" spans="1:17" ht="13.95" customHeight="1" outlineLevel="3" x14ac:dyDescent="0.25">
      <c r="A236" t="s">
        <v>1</v>
      </c>
      <c r="B236" s="2">
        <v>40633</v>
      </c>
      <c r="C236" s="2">
        <v>40633</v>
      </c>
      <c r="D236" s="2">
        <v>40678</v>
      </c>
      <c r="E236" s="2"/>
      <c r="F236" t="s">
        <v>2</v>
      </c>
      <c r="G236" s="3">
        <v>45</v>
      </c>
      <c r="H236" s="4">
        <v>28450.28</v>
      </c>
      <c r="I236" t="s">
        <v>3</v>
      </c>
      <c r="J236" s="6">
        <v>1400000023</v>
      </c>
      <c r="K236" t="s">
        <v>0</v>
      </c>
      <c r="L236" s="3">
        <v>3407</v>
      </c>
      <c r="M236" s="3">
        <v>3376</v>
      </c>
      <c r="N236" t="s">
        <v>4</v>
      </c>
      <c r="O236" s="6">
        <v>1050</v>
      </c>
      <c r="P236" s="12">
        <f t="shared" si="6"/>
        <v>230</v>
      </c>
      <c r="Q236" t="str">
        <f t="shared" si="7"/>
        <v>④만기경과 후 7~12개월</v>
      </c>
    </row>
    <row r="237" spans="1:17" ht="13.95" customHeight="1" outlineLevel="3" x14ac:dyDescent="0.25">
      <c r="A237" t="s">
        <v>1</v>
      </c>
      <c r="B237" s="2">
        <v>40633</v>
      </c>
      <c r="C237" s="2">
        <v>40633</v>
      </c>
      <c r="D237" s="2">
        <v>40678</v>
      </c>
      <c r="E237" s="2"/>
      <c r="F237" t="s">
        <v>2</v>
      </c>
      <c r="G237" s="3">
        <v>45</v>
      </c>
      <c r="H237" s="4">
        <v>31638.77</v>
      </c>
      <c r="I237" t="s">
        <v>3</v>
      </c>
      <c r="J237" s="6">
        <v>1400000022</v>
      </c>
      <c r="K237" t="s">
        <v>0</v>
      </c>
      <c r="L237" s="3">
        <v>3407</v>
      </c>
      <c r="M237" s="3">
        <v>3376</v>
      </c>
      <c r="N237" t="s">
        <v>4</v>
      </c>
      <c r="O237" s="6">
        <v>1050</v>
      </c>
      <c r="P237" s="12">
        <f t="shared" si="6"/>
        <v>230</v>
      </c>
      <c r="Q237" t="str">
        <f t="shared" si="7"/>
        <v>④만기경과 후 7~12개월</v>
      </c>
    </row>
    <row r="238" spans="1:17" ht="13.95" customHeight="1" outlineLevel="3" x14ac:dyDescent="0.25">
      <c r="A238" t="s">
        <v>1</v>
      </c>
      <c r="B238" s="2">
        <v>40633</v>
      </c>
      <c r="C238" s="2">
        <v>40633</v>
      </c>
      <c r="D238" s="2">
        <v>40678</v>
      </c>
      <c r="E238" s="2"/>
      <c r="F238" t="s">
        <v>2</v>
      </c>
      <c r="G238" s="3">
        <v>45</v>
      </c>
      <c r="H238" s="4">
        <v>46983.94</v>
      </c>
      <c r="I238" t="s">
        <v>3</v>
      </c>
      <c r="J238" s="6">
        <v>1400000021</v>
      </c>
      <c r="K238" t="s">
        <v>0</v>
      </c>
      <c r="L238" s="3">
        <v>3407</v>
      </c>
      <c r="M238" s="3">
        <v>3376</v>
      </c>
      <c r="N238" t="s">
        <v>4</v>
      </c>
      <c r="O238" s="6">
        <v>1050</v>
      </c>
      <c r="P238" s="12">
        <f t="shared" si="6"/>
        <v>230</v>
      </c>
      <c r="Q238" t="str">
        <f t="shared" si="7"/>
        <v>④만기경과 후 7~12개월</v>
      </c>
    </row>
    <row r="239" spans="1:17" ht="13.95" customHeight="1" outlineLevel="3" x14ac:dyDescent="0.25">
      <c r="A239" t="s">
        <v>1</v>
      </c>
      <c r="B239" s="2">
        <v>40602</v>
      </c>
      <c r="C239" s="2">
        <v>40602</v>
      </c>
      <c r="D239" s="2">
        <v>40647</v>
      </c>
      <c r="E239" s="2"/>
      <c r="F239" t="s">
        <v>2</v>
      </c>
      <c r="G239" s="3">
        <v>45</v>
      </c>
      <c r="H239" s="4">
        <v>40643.26</v>
      </c>
      <c r="I239" t="s">
        <v>3</v>
      </c>
      <c r="J239" s="6">
        <v>1400000017</v>
      </c>
      <c r="K239" t="s">
        <v>0</v>
      </c>
      <c r="L239" s="3">
        <v>3438</v>
      </c>
      <c r="M239" s="3">
        <v>3407</v>
      </c>
      <c r="N239" t="s">
        <v>4</v>
      </c>
      <c r="O239" s="6">
        <v>1050</v>
      </c>
      <c r="P239" s="12">
        <f t="shared" si="6"/>
        <v>261</v>
      </c>
      <c r="Q239" t="str">
        <f t="shared" si="7"/>
        <v>④만기경과 후 7~12개월</v>
      </c>
    </row>
    <row r="240" spans="1:17" ht="13.95" customHeight="1" outlineLevel="3" x14ac:dyDescent="0.25">
      <c r="A240" t="s">
        <v>1</v>
      </c>
      <c r="B240" s="2">
        <v>40602</v>
      </c>
      <c r="C240" s="2">
        <v>40602</v>
      </c>
      <c r="D240" s="2">
        <v>40647</v>
      </c>
      <c r="E240" s="2"/>
      <c r="F240" t="s">
        <v>2</v>
      </c>
      <c r="G240" s="3">
        <v>45</v>
      </c>
      <c r="H240" s="4">
        <v>31638.77</v>
      </c>
      <c r="I240" t="s">
        <v>3</v>
      </c>
      <c r="J240" s="6">
        <v>1400000016</v>
      </c>
      <c r="K240" t="s">
        <v>0</v>
      </c>
      <c r="L240" s="3">
        <v>3438</v>
      </c>
      <c r="M240" s="3">
        <v>3407</v>
      </c>
      <c r="N240" t="s">
        <v>4</v>
      </c>
      <c r="O240" s="6">
        <v>1050</v>
      </c>
      <c r="P240" s="12">
        <f t="shared" si="6"/>
        <v>261</v>
      </c>
      <c r="Q240" t="str">
        <f t="shared" si="7"/>
        <v>④만기경과 후 7~12개월</v>
      </c>
    </row>
    <row r="241" spans="1:17" ht="13.95" customHeight="1" outlineLevel="3" x14ac:dyDescent="0.25">
      <c r="A241" t="s">
        <v>1</v>
      </c>
      <c r="B241" s="2">
        <v>40602</v>
      </c>
      <c r="C241" s="2">
        <v>40602</v>
      </c>
      <c r="D241" s="2">
        <v>40647</v>
      </c>
      <c r="E241" s="2"/>
      <c r="F241" t="s">
        <v>2</v>
      </c>
      <c r="G241" s="3">
        <v>45</v>
      </c>
      <c r="H241" s="4">
        <v>43369.79</v>
      </c>
      <c r="I241" t="s">
        <v>3</v>
      </c>
      <c r="J241" s="6">
        <v>1400000015</v>
      </c>
      <c r="K241" t="s">
        <v>0</v>
      </c>
      <c r="L241" s="3">
        <v>3438</v>
      </c>
      <c r="M241" s="3">
        <v>3407</v>
      </c>
      <c r="N241" t="s">
        <v>4</v>
      </c>
      <c r="O241" s="6">
        <v>1050</v>
      </c>
      <c r="P241" s="12">
        <f t="shared" si="6"/>
        <v>261</v>
      </c>
      <c r="Q241" t="str">
        <f t="shared" si="7"/>
        <v>④만기경과 후 7~12개월</v>
      </c>
    </row>
    <row r="242" spans="1:17" ht="13.95" customHeight="1" outlineLevel="3" x14ac:dyDescent="0.25">
      <c r="A242" t="s">
        <v>1</v>
      </c>
      <c r="B242" s="2">
        <v>40724</v>
      </c>
      <c r="C242" s="2">
        <v>40724</v>
      </c>
      <c r="D242" s="2">
        <v>40769</v>
      </c>
      <c r="E242" s="2"/>
      <c r="F242" t="s">
        <v>2</v>
      </c>
      <c r="G242" s="3">
        <v>45</v>
      </c>
      <c r="H242" s="4">
        <v>55367.839999999997</v>
      </c>
      <c r="I242" t="s">
        <v>3</v>
      </c>
      <c r="J242" s="6">
        <v>1400000050</v>
      </c>
      <c r="K242" t="s">
        <v>0</v>
      </c>
      <c r="L242" s="3">
        <v>3316</v>
      </c>
      <c r="M242" s="3">
        <v>3285</v>
      </c>
      <c r="N242" t="s">
        <v>4</v>
      </c>
      <c r="O242" s="6">
        <v>1050</v>
      </c>
      <c r="P242" s="12">
        <f t="shared" si="6"/>
        <v>139</v>
      </c>
      <c r="Q242" t="str">
        <f t="shared" si="7"/>
        <v>③만기경과 후 4~6개월</v>
      </c>
    </row>
    <row r="243" spans="1:17" ht="13.95" customHeight="1" outlineLevel="3" x14ac:dyDescent="0.25">
      <c r="A243" t="s">
        <v>1</v>
      </c>
      <c r="B243" s="2">
        <v>40816</v>
      </c>
      <c r="C243" s="2">
        <v>40816</v>
      </c>
      <c r="D243" s="2">
        <v>40861</v>
      </c>
      <c r="E243" s="2"/>
      <c r="F243" t="s">
        <v>2</v>
      </c>
      <c r="G243" s="3">
        <v>45</v>
      </c>
      <c r="H243" s="4">
        <v>48771.91</v>
      </c>
      <c r="I243" t="s">
        <v>3</v>
      </c>
      <c r="J243" s="6">
        <v>1400000082</v>
      </c>
      <c r="K243" t="s">
        <v>0</v>
      </c>
      <c r="L243" s="3">
        <v>3224</v>
      </c>
      <c r="M243" s="3">
        <v>3193</v>
      </c>
      <c r="N243" t="s">
        <v>4</v>
      </c>
      <c r="O243" s="6">
        <v>1050</v>
      </c>
      <c r="P243" s="12">
        <f t="shared" si="6"/>
        <v>47</v>
      </c>
      <c r="Q243" t="str">
        <f t="shared" si="7"/>
        <v>②만기경과 후 3개월 이하</v>
      </c>
    </row>
    <row r="244" spans="1:17" ht="13.95" customHeight="1" outlineLevel="3" x14ac:dyDescent="0.25">
      <c r="A244" t="s">
        <v>1</v>
      </c>
      <c r="B244" s="2">
        <v>40816</v>
      </c>
      <c r="C244" s="2">
        <v>40816</v>
      </c>
      <c r="D244" s="2">
        <v>40861</v>
      </c>
      <c r="E244" s="2"/>
      <c r="F244" t="s">
        <v>2</v>
      </c>
      <c r="G244" s="3">
        <v>45</v>
      </c>
      <c r="H244" s="4">
        <v>55367.839999999997</v>
      </c>
      <c r="I244" t="s">
        <v>3</v>
      </c>
      <c r="J244" s="6">
        <v>1400000081</v>
      </c>
      <c r="K244" t="s">
        <v>0</v>
      </c>
      <c r="L244" s="3">
        <v>3224</v>
      </c>
      <c r="M244" s="3">
        <v>3193</v>
      </c>
      <c r="N244" t="s">
        <v>4</v>
      </c>
      <c r="O244" s="6">
        <v>1050</v>
      </c>
      <c r="P244" s="12">
        <f t="shared" si="6"/>
        <v>47</v>
      </c>
      <c r="Q244" t="str">
        <f t="shared" si="7"/>
        <v>②만기경과 후 3개월 이하</v>
      </c>
    </row>
    <row r="245" spans="1:17" ht="13.95" customHeight="1" outlineLevel="3" x14ac:dyDescent="0.25">
      <c r="A245" t="s">
        <v>1</v>
      </c>
      <c r="B245" s="2">
        <v>40816</v>
      </c>
      <c r="C245" s="2">
        <v>40816</v>
      </c>
      <c r="D245" s="2">
        <v>40861</v>
      </c>
      <c r="E245" s="2"/>
      <c r="F245" t="s">
        <v>2</v>
      </c>
      <c r="G245" s="3">
        <v>45</v>
      </c>
      <c r="H245" s="4">
        <v>18070.75</v>
      </c>
      <c r="I245" t="s">
        <v>3</v>
      </c>
      <c r="J245" s="6">
        <v>1400000080</v>
      </c>
      <c r="K245" t="s">
        <v>0</v>
      </c>
      <c r="L245" s="3">
        <v>3224</v>
      </c>
      <c r="M245" s="3">
        <v>3193</v>
      </c>
      <c r="N245" t="s">
        <v>4</v>
      </c>
      <c r="O245" s="6">
        <v>1050</v>
      </c>
      <c r="P245" s="12">
        <f t="shared" si="6"/>
        <v>47</v>
      </c>
      <c r="Q245" t="str">
        <f t="shared" si="7"/>
        <v>②만기경과 후 3개월 이하</v>
      </c>
    </row>
    <row r="246" spans="1:17" ht="13.95" customHeight="1" outlineLevel="3" x14ac:dyDescent="0.25">
      <c r="A246" t="s">
        <v>1</v>
      </c>
      <c r="B246" s="2">
        <v>40816</v>
      </c>
      <c r="C246" s="2">
        <v>40816</v>
      </c>
      <c r="D246" s="2">
        <v>40861</v>
      </c>
      <c r="E246" s="2"/>
      <c r="F246" t="s">
        <v>2</v>
      </c>
      <c r="G246" s="3">
        <v>45</v>
      </c>
      <c r="H246" s="4">
        <v>44707.59</v>
      </c>
      <c r="I246" t="s">
        <v>3</v>
      </c>
      <c r="J246" s="6">
        <v>1400000079</v>
      </c>
      <c r="K246" t="s">
        <v>0</v>
      </c>
      <c r="L246" s="3">
        <v>3224</v>
      </c>
      <c r="M246" s="3">
        <v>3193</v>
      </c>
      <c r="N246" t="s">
        <v>4</v>
      </c>
      <c r="O246" s="6">
        <v>1050</v>
      </c>
      <c r="P246" s="12">
        <f t="shared" si="6"/>
        <v>47</v>
      </c>
      <c r="Q246" t="str">
        <f t="shared" si="7"/>
        <v>②만기경과 후 3개월 이하</v>
      </c>
    </row>
    <row r="247" spans="1:17" ht="13.95" customHeight="1" outlineLevel="3" x14ac:dyDescent="0.25">
      <c r="A247" t="s">
        <v>1</v>
      </c>
      <c r="B247" s="2">
        <v>40816</v>
      </c>
      <c r="C247" s="2">
        <v>40816</v>
      </c>
      <c r="D247" s="2">
        <v>40861</v>
      </c>
      <c r="E247" s="2"/>
      <c r="F247" t="s">
        <v>2</v>
      </c>
      <c r="G247" s="3">
        <v>45</v>
      </c>
      <c r="H247" s="4">
        <v>47458.15</v>
      </c>
      <c r="I247" t="s">
        <v>3</v>
      </c>
      <c r="J247" s="6">
        <v>1400000078</v>
      </c>
      <c r="K247" t="s">
        <v>0</v>
      </c>
      <c r="L247" s="3">
        <v>3224</v>
      </c>
      <c r="M247" s="3">
        <v>3193</v>
      </c>
      <c r="N247" t="s">
        <v>4</v>
      </c>
      <c r="O247" s="6">
        <v>1050</v>
      </c>
      <c r="P247" s="12">
        <f t="shared" si="6"/>
        <v>47</v>
      </c>
      <c r="Q247" t="str">
        <f t="shared" si="7"/>
        <v>②만기경과 후 3개월 이하</v>
      </c>
    </row>
    <row r="248" spans="1:17" ht="13.95" customHeight="1" outlineLevel="3" x14ac:dyDescent="0.25">
      <c r="A248" t="s">
        <v>1</v>
      </c>
      <c r="B248" s="2">
        <v>40816</v>
      </c>
      <c r="C248" s="2">
        <v>40816</v>
      </c>
      <c r="D248" s="2">
        <v>40861</v>
      </c>
      <c r="E248" s="2"/>
      <c r="F248" t="s">
        <v>2</v>
      </c>
      <c r="G248" s="3">
        <v>45</v>
      </c>
      <c r="H248" s="4">
        <v>18070.75</v>
      </c>
      <c r="I248" t="s">
        <v>3</v>
      </c>
      <c r="J248" s="6">
        <v>1400000077</v>
      </c>
      <c r="K248" t="s">
        <v>0</v>
      </c>
      <c r="L248" s="3">
        <v>3224</v>
      </c>
      <c r="M248" s="3">
        <v>3193</v>
      </c>
      <c r="N248" t="s">
        <v>4</v>
      </c>
      <c r="O248" s="6">
        <v>1050</v>
      </c>
      <c r="P248" s="12">
        <f t="shared" si="6"/>
        <v>47</v>
      </c>
      <c r="Q248" t="str">
        <f t="shared" si="7"/>
        <v>②만기경과 후 3개월 이하</v>
      </c>
    </row>
    <row r="249" spans="1:17" ht="13.95" customHeight="1" outlineLevel="3" x14ac:dyDescent="0.25">
      <c r="A249" t="s">
        <v>1</v>
      </c>
      <c r="B249" s="2">
        <v>40786</v>
      </c>
      <c r="C249" s="2">
        <v>40786</v>
      </c>
      <c r="D249" s="2">
        <v>40831</v>
      </c>
      <c r="E249" s="2"/>
      <c r="F249" t="s">
        <v>2</v>
      </c>
      <c r="G249" s="3">
        <v>45</v>
      </c>
      <c r="H249" s="4">
        <v>36578.93</v>
      </c>
      <c r="I249" t="s">
        <v>3</v>
      </c>
      <c r="J249" s="6">
        <v>1400000073</v>
      </c>
      <c r="K249" t="s">
        <v>0</v>
      </c>
      <c r="L249" s="3">
        <v>3254</v>
      </c>
      <c r="M249" s="3">
        <v>3223</v>
      </c>
      <c r="N249" t="s">
        <v>4</v>
      </c>
      <c r="O249" s="6">
        <v>1050</v>
      </c>
      <c r="P249" s="12">
        <f t="shared" si="6"/>
        <v>77</v>
      </c>
      <c r="Q249" t="str">
        <f t="shared" si="7"/>
        <v>②만기경과 후 3개월 이하</v>
      </c>
    </row>
    <row r="250" spans="1:17" ht="13.95" customHeight="1" outlineLevel="3" x14ac:dyDescent="0.25">
      <c r="A250" t="s">
        <v>1</v>
      </c>
      <c r="B250" s="2">
        <v>40786</v>
      </c>
      <c r="C250" s="2">
        <v>40786</v>
      </c>
      <c r="D250" s="2">
        <v>40831</v>
      </c>
      <c r="E250" s="2"/>
      <c r="F250" t="s">
        <v>2</v>
      </c>
      <c r="G250" s="3">
        <v>45</v>
      </c>
      <c r="H250" s="4">
        <v>63277.54</v>
      </c>
      <c r="I250" t="s">
        <v>3</v>
      </c>
      <c r="J250" s="6">
        <v>1400000072</v>
      </c>
      <c r="K250" t="s">
        <v>0</v>
      </c>
      <c r="L250" s="3">
        <v>3254</v>
      </c>
      <c r="M250" s="3">
        <v>3223</v>
      </c>
      <c r="N250" t="s">
        <v>4</v>
      </c>
      <c r="O250" s="6">
        <v>1050</v>
      </c>
      <c r="P250" s="12">
        <f t="shared" si="6"/>
        <v>77</v>
      </c>
      <c r="Q250" t="str">
        <f t="shared" si="7"/>
        <v>②만기경과 후 3개월 이하</v>
      </c>
    </row>
    <row r="251" spans="1:17" ht="13.95" customHeight="1" outlineLevel="3" x14ac:dyDescent="0.25">
      <c r="A251" t="s">
        <v>1</v>
      </c>
      <c r="B251" s="2">
        <v>40786</v>
      </c>
      <c r="C251" s="2">
        <v>40786</v>
      </c>
      <c r="D251" s="2">
        <v>40831</v>
      </c>
      <c r="E251" s="2"/>
      <c r="F251" t="s">
        <v>2</v>
      </c>
      <c r="G251" s="3">
        <v>45</v>
      </c>
      <c r="H251" s="4">
        <v>21684.89</v>
      </c>
      <c r="I251" t="s">
        <v>3</v>
      </c>
      <c r="J251" s="6">
        <v>1400000071</v>
      </c>
      <c r="K251" t="s">
        <v>0</v>
      </c>
      <c r="L251" s="3">
        <v>3254</v>
      </c>
      <c r="M251" s="3">
        <v>3223</v>
      </c>
      <c r="N251" t="s">
        <v>4</v>
      </c>
      <c r="O251" s="6">
        <v>1050</v>
      </c>
      <c r="P251" s="12">
        <f t="shared" si="6"/>
        <v>77</v>
      </c>
      <c r="Q251" t="str">
        <f t="shared" si="7"/>
        <v>②만기경과 후 3개월 이하</v>
      </c>
    </row>
    <row r="252" spans="1:17" ht="13.95" customHeight="1" outlineLevel="3" x14ac:dyDescent="0.25">
      <c r="A252" t="s">
        <v>1</v>
      </c>
      <c r="B252" s="2">
        <v>40786</v>
      </c>
      <c r="C252" s="2">
        <v>40786</v>
      </c>
      <c r="D252" s="2">
        <v>40831</v>
      </c>
      <c r="E252" s="2"/>
      <c r="F252" t="s">
        <v>2</v>
      </c>
      <c r="G252" s="3">
        <v>45</v>
      </c>
      <c r="H252" s="4">
        <v>40643.26</v>
      </c>
      <c r="I252" t="s">
        <v>3</v>
      </c>
      <c r="J252" s="6">
        <v>1400000070</v>
      </c>
      <c r="K252" t="s">
        <v>0</v>
      </c>
      <c r="L252" s="3">
        <v>3254</v>
      </c>
      <c r="M252" s="3">
        <v>3223</v>
      </c>
      <c r="N252" t="s">
        <v>4</v>
      </c>
      <c r="O252" s="6">
        <v>1050</v>
      </c>
      <c r="P252" s="12">
        <f t="shared" si="6"/>
        <v>77</v>
      </c>
      <c r="Q252" t="str">
        <f t="shared" si="7"/>
        <v>②만기경과 후 3개월 이하</v>
      </c>
    </row>
    <row r="253" spans="1:17" ht="13.95" customHeight="1" outlineLevel="3" x14ac:dyDescent="0.25">
      <c r="A253" t="s">
        <v>1</v>
      </c>
      <c r="B253" s="2">
        <v>40786</v>
      </c>
      <c r="C253" s="2">
        <v>40786</v>
      </c>
      <c r="D253" s="2">
        <v>40831</v>
      </c>
      <c r="E253" s="2"/>
      <c r="F253" t="s">
        <v>2</v>
      </c>
      <c r="G253" s="3">
        <v>45</v>
      </c>
      <c r="H253" s="4">
        <v>51413</v>
      </c>
      <c r="I253" t="s">
        <v>3</v>
      </c>
      <c r="J253" s="6">
        <v>1400000069</v>
      </c>
      <c r="K253" t="s">
        <v>0</v>
      </c>
      <c r="L253" s="3">
        <v>3254</v>
      </c>
      <c r="M253" s="3">
        <v>3223</v>
      </c>
      <c r="N253" t="s">
        <v>4</v>
      </c>
      <c r="O253" s="6">
        <v>1050</v>
      </c>
      <c r="P253" s="12">
        <f t="shared" si="6"/>
        <v>77</v>
      </c>
      <c r="Q253" t="str">
        <f t="shared" si="7"/>
        <v>②만기경과 후 3개월 이하</v>
      </c>
    </row>
    <row r="254" spans="1:17" ht="13.95" customHeight="1" outlineLevel="3" x14ac:dyDescent="0.25">
      <c r="A254" t="s">
        <v>1</v>
      </c>
      <c r="B254" s="2">
        <v>40786</v>
      </c>
      <c r="C254" s="2">
        <v>40786</v>
      </c>
      <c r="D254" s="2">
        <v>40831</v>
      </c>
      <c r="E254" s="2"/>
      <c r="F254" t="s">
        <v>2</v>
      </c>
      <c r="G254" s="3">
        <v>45</v>
      </c>
      <c r="H254" s="4">
        <v>14456.6</v>
      </c>
      <c r="I254" t="s">
        <v>3</v>
      </c>
      <c r="J254" s="6">
        <v>1400000068</v>
      </c>
      <c r="K254" t="s">
        <v>0</v>
      </c>
      <c r="L254" s="3">
        <v>3254</v>
      </c>
      <c r="M254" s="3">
        <v>3223</v>
      </c>
      <c r="N254" t="s">
        <v>4</v>
      </c>
      <c r="O254" s="6">
        <v>1050</v>
      </c>
      <c r="P254" s="12">
        <f t="shared" si="6"/>
        <v>77</v>
      </c>
      <c r="Q254" t="str">
        <f t="shared" si="7"/>
        <v>②만기경과 후 3개월 이하</v>
      </c>
    </row>
    <row r="255" spans="1:17" ht="13.95" customHeight="1" outlineLevel="3" x14ac:dyDescent="0.25">
      <c r="A255" t="s">
        <v>1</v>
      </c>
      <c r="B255" s="2">
        <v>40755</v>
      </c>
      <c r="C255" s="2">
        <v>40755</v>
      </c>
      <c r="D255" s="2">
        <v>40800</v>
      </c>
      <c r="E255" s="2"/>
      <c r="F255" t="s">
        <v>2</v>
      </c>
      <c r="G255" s="3">
        <v>45</v>
      </c>
      <c r="H255" s="4">
        <v>24385.96</v>
      </c>
      <c r="I255" t="s">
        <v>3</v>
      </c>
      <c r="J255" s="6">
        <v>1400000064</v>
      </c>
      <c r="K255" t="s">
        <v>0</v>
      </c>
      <c r="L255" s="3">
        <v>3285</v>
      </c>
      <c r="M255" s="3">
        <v>3254</v>
      </c>
      <c r="N255" t="s">
        <v>4</v>
      </c>
      <c r="O255" s="6">
        <v>1050</v>
      </c>
      <c r="P255" s="12">
        <f t="shared" si="6"/>
        <v>108</v>
      </c>
      <c r="Q255" t="str">
        <f t="shared" si="7"/>
        <v>③만기경과 후 4~6개월</v>
      </c>
    </row>
    <row r="256" spans="1:17" ht="13.95" customHeight="1" outlineLevel="3" x14ac:dyDescent="0.25">
      <c r="A256" t="s">
        <v>1</v>
      </c>
      <c r="B256" s="2">
        <v>40755</v>
      </c>
      <c r="C256" s="2">
        <v>40755</v>
      </c>
      <c r="D256" s="2">
        <v>40800</v>
      </c>
      <c r="E256" s="2"/>
      <c r="F256" t="s">
        <v>2</v>
      </c>
      <c r="G256" s="3">
        <v>45</v>
      </c>
      <c r="H256" s="4">
        <v>67232.38</v>
      </c>
      <c r="I256" t="s">
        <v>3</v>
      </c>
      <c r="J256" s="6">
        <v>1400000063</v>
      </c>
      <c r="K256" t="s">
        <v>0</v>
      </c>
      <c r="L256" s="3">
        <v>3285</v>
      </c>
      <c r="M256" s="3">
        <v>3254</v>
      </c>
      <c r="N256" t="s">
        <v>4</v>
      </c>
      <c r="O256" s="6">
        <v>1050</v>
      </c>
      <c r="P256" s="12">
        <f t="shared" si="6"/>
        <v>108</v>
      </c>
      <c r="Q256" t="str">
        <f t="shared" si="7"/>
        <v>③만기경과 후 4~6개월</v>
      </c>
    </row>
    <row r="257" spans="1:17" ht="13.95" customHeight="1" outlineLevel="3" x14ac:dyDescent="0.25">
      <c r="A257" t="s">
        <v>1</v>
      </c>
      <c r="B257" s="2">
        <v>40755</v>
      </c>
      <c r="C257" s="2">
        <v>40755</v>
      </c>
      <c r="D257" s="2">
        <v>40800</v>
      </c>
      <c r="E257" s="2"/>
      <c r="F257" t="s">
        <v>2</v>
      </c>
      <c r="G257" s="3">
        <v>45</v>
      </c>
      <c r="H257" s="4">
        <v>21684.89</v>
      </c>
      <c r="I257" t="s">
        <v>3</v>
      </c>
      <c r="J257" s="6">
        <v>1400000062</v>
      </c>
      <c r="K257" t="s">
        <v>0</v>
      </c>
      <c r="L257" s="3">
        <v>3285</v>
      </c>
      <c r="M257" s="3">
        <v>3254</v>
      </c>
      <c r="N257" t="s">
        <v>4</v>
      </c>
      <c r="O257" s="6">
        <v>1050</v>
      </c>
      <c r="P257" s="12">
        <f t="shared" si="6"/>
        <v>108</v>
      </c>
      <c r="Q257" t="str">
        <f t="shared" si="7"/>
        <v>③만기경과 후 4~6개월</v>
      </c>
    </row>
    <row r="258" spans="1:17" ht="13.95" customHeight="1" outlineLevel="3" x14ac:dyDescent="0.25">
      <c r="A258" t="s">
        <v>1</v>
      </c>
      <c r="B258" s="2">
        <v>40755</v>
      </c>
      <c r="C258" s="2">
        <v>40755</v>
      </c>
      <c r="D258" s="2">
        <v>40800</v>
      </c>
      <c r="E258" s="2"/>
      <c r="F258" t="s">
        <v>2</v>
      </c>
      <c r="G258" s="3">
        <v>45</v>
      </c>
      <c r="H258" s="4">
        <v>28450.28</v>
      </c>
      <c r="I258" t="s">
        <v>3</v>
      </c>
      <c r="J258" s="6">
        <v>1400000061</v>
      </c>
      <c r="K258" t="s">
        <v>0</v>
      </c>
      <c r="L258" s="3">
        <v>3285</v>
      </c>
      <c r="M258" s="3">
        <v>3254</v>
      </c>
      <c r="N258" t="s">
        <v>4</v>
      </c>
      <c r="O258" s="6">
        <v>1050</v>
      </c>
      <c r="P258" s="12">
        <f t="shared" si="6"/>
        <v>108</v>
      </c>
      <c r="Q258" t="str">
        <f t="shared" si="7"/>
        <v>③만기경과 후 4~6개월</v>
      </c>
    </row>
    <row r="259" spans="1:17" ht="13.95" customHeight="1" outlineLevel="3" x14ac:dyDescent="0.25">
      <c r="A259" t="s">
        <v>1</v>
      </c>
      <c r="B259" s="2">
        <v>40755</v>
      </c>
      <c r="C259" s="2">
        <v>40755</v>
      </c>
      <c r="D259" s="2">
        <v>40800</v>
      </c>
      <c r="E259" s="2"/>
      <c r="F259" t="s">
        <v>2</v>
      </c>
      <c r="G259" s="3">
        <v>45</v>
      </c>
      <c r="H259" s="4">
        <v>63277.54</v>
      </c>
      <c r="I259" t="s">
        <v>3</v>
      </c>
      <c r="J259" s="6">
        <v>1400000060</v>
      </c>
      <c r="K259" t="s">
        <v>0</v>
      </c>
      <c r="L259" s="3">
        <v>3285</v>
      </c>
      <c r="M259" s="3">
        <v>3254</v>
      </c>
      <c r="N259" t="s">
        <v>4</v>
      </c>
      <c r="O259" s="6">
        <v>1050</v>
      </c>
      <c r="P259" s="12">
        <f t="shared" ref="P259:P322" si="8">$T$1-D259</f>
        <v>108</v>
      </c>
      <c r="Q259" t="str">
        <f t="shared" ref="Q259:Q322" si="9">IF(P259&lt;=0,"①연체되지 않은 채권",IF(P259&lt;=92,"②만기경과 후 3개월 이하",IF(P259&lt;=184,"③만기경과 후 4~6개월",IF(P259&lt;=365,"④만기경과 후 7~12개월","⑤만기경과 후 12개월 초과"))))</f>
        <v>③만기경과 후 4~6개월</v>
      </c>
    </row>
    <row r="260" spans="1:17" ht="13.95" customHeight="1" outlineLevel="3" x14ac:dyDescent="0.25">
      <c r="A260" t="s">
        <v>1</v>
      </c>
      <c r="B260" s="2">
        <v>40755</v>
      </c>
      <c r="C260" s="2">
        <v>40755</v>
      </c>
      <c r="D260" s="2">
        <v>40800</v>
      </c>
      <c r="E260" s="2"/>
      <c r="F260" t="s">
        <v>2</v>
      </c>
      <c r="G260" s="3">
        <v>45</v>
      </c>
      <c r="H260" s="4">
        <v>21684.89</v>
      </c>
      <c r="I260" t="s">
        <v>3</v>
      </c>
      <c r="J260" s="6">
        <v>1400000059</v>
      </c>
      <c r="K260" t="s">
        <v>0</v>
      </c>
      <c r="L260" s="3">
        <v>3285</v>
      </c>
      <c r="M260" s="3">
        <v>3254</v>
      </c>
      <c r="N260" t="s">
        <v>4</v>
      </c>
      <c r="O260" s="6">
        <v>1050</v>
      </c>
      <c r="P260" s="12">
        <f t="shared" si="8"/>
        <v>108</v>
      </c>
      <c r="Q260" t="str">
        <f t="shared" si="9"/>
        <v>③만기경과 후 4~6개월</v>
      </c>
    </row>
    <row r="261" spans="1:17" ht="13.95" customHeight="1" outlineLevel="3" x14ac:dyDescent="0.25">
      <c r="A261" t="s">
        <v>1</v>
      </c>
      <c r="B261" s="2">
        <v>40724</v>
      </c>
      <c r="C261" s="2">
        <v>40724</v>
      </c>
      <c r="D261" s="2">
        <v>40769</v>
      </c>
      <c r="E261" s="2"/>
      <c r="F261" t="s">
        <v>2</v>
      </c>
      <c r="G261" s="3">
        <v>45</v>
      </c>
      <c r="H261" s="4">
        <v>16257.3</v>
      </c>
      <c r="I261" t="s">
        <v>3</v>
      </c>
      <c r="J261" s="6">
        <v>1400000054</v>
      </c>
      <c r="K261" t="s">
        <v>0</v>
      </c>
      <c r="L261" s="3">
        <v>3316</v>
      </c>
      <c r="M261" s="3">
        <v>3285</v>
      </c>
      <c r="N261" t="s">
        <v>4</v>
      </c>
      <c r="O261" s="6">
        <v>1050</v>
      </c>
      <c r="P261" s="12">
        <f t="shared" si="8"/>
        <v>139</v>
      </c>
      <c r="Q261" t="str">
        <f t="shared" si="9"/>
        <v>③만기경과 후 4~6개월</v>
      </c>
    </row>
    <row r="262" spans="1:17" ht="13.95" customHeight="1" outlineLevel="3" x14ac:dyDescent="0.25">
      <c r="A262" t="s">
        <v>1</v>
      </c>
      <c r="B262" s="2">
        <v>40724</v>
      </c>
      <c r="C262" s="2">
        <v>40724</v>
      </c>
      <c r="D262" s="2">
        <v>40769</v>
      </c>
      <c r="E262" s="2"/>
      <c r="F262" t="s">
        <v>2</v>
      </c>
      <c r="G262" s="3">
        <v>45</v>
      </c>
      <c r="H262" s="4">
        <v>59322.69</v>
      </c>
      <c r="I262" t="s">
        <v>3</v>
      </c>
      <c r="J262" s="6">
        <v>1400000053</v>
      </c>
      <c r="K262" t="s">
        <v>0</v>
      </c>
      <c r="L262" s="3">
        <v>3316</v>
      </c>
      <c r="M262" s="3">
        <v>3285</v>
      </c>
      <c r="N262" t="s">
        <v>4</v>
      </c>
      <c r="O262" s="6">
        <v>1050</v>
      </c>
      <c r="P262" s="12">
        <f t="shared" si="8"/>
        <v>139</v>
      </c>
      <c r="Q262" t="str">
        <f t="shared" si="9"/>
        <v>③만기경과 후 4~6개월</v>
      </c>
    </row>
    <row r="263" spans="1:17" ht="13.95" customHeight="1" outlineLevel="3" x14ac:dyDescent="0.25">
      <c r="A263" t="s">
        <v>1</v>
      </c>
      <c r="B263" s="2">
        <v>40724</v>
      </c>
      <c r="C263" s="2">
        <v>40724</v>
      </c>
      <c r="D263" s="2">
        <v>40769</v>
      </c>
      <c r="E263" s="2"/>
      <c r="F263" t="s">
        <v>2</v>
      </c>
      <c r="G263" s="3">
        <v>45</v>
      </c>
      <c r="H263" s="4">
        <v>28913.19</v>
      </c>
      <c r="I263" t="s">
        <v>3</v>
      </c>
      <c r="J263" s="6">
        <v>1400000052</v>
      </c>
      <c r="K263" t="s">
        <v>0</v>
      </c>
      <c r="L263" s="3">
        <v>3316</v>
      </c>
      <c r="M263" s="3">
        <v>3285</v>
      </c>
      <c r="N263" t="s">
        <v>4</v>
      </c>
      <c r="O263" s="6">
        <v>1050</v>
      </c>
      <c r="P263" s="12">
        <f t="shared" si="8"/>
        <v>139</v>
      </c>
      <c r="Q263" t="str">
        <f t="shared" si="9"/>
        <v>③만기경과 후 4~6개월</v>
      </c>
    </row>
    <row r="264" spans="1:17" ht="13.95" customHeight="1" outlineLevel="3" x14ac:dyDescent="0.25">
      <c r="A264" t="s">
        <v>1</v>
      </c>
      <c r="B264" s="2">
        <v>40724</v>
      </c>
      <c r="C264" s="2">
        <v>40724</v>
      </c>
      <c r="D264" s="2">
        <v>40769</v>
      </c>
      <c r="E264" s="2"/>
      <c r="F264" t="s">
        <v>2</v>
      </c>
      <c r="G264" s="3">
        <v>45</v>
      </c>
      <c r="H264" s="4">
        <v>24385.96</v>
      </c>
      <c r="I264" t="s">
        <v>3</v>
      </c>
      <c r="J264" s="6">
        <v>1400000051</v>
      </c>
      <c r="K264" t="s">
        <v>0</v>
      </c>
      <c r="L264" s="3">
        <v>3316</v>
      </c>
      <c r="M264" s="3">
        <v>3285</v>
      </c>
      <c r="N264" t="s">
        <v>4</v>
      </c>
      <c r="O264" s="6">
        <v>1050</v>
      </c>
      <c r="P264" s="12">
        <f t="shared" si="8"/>
        <v>139</v>
      </c>
      <c r="Q264" t="str">
        <f t="shared" si="9"/>
        <v>③만기경과 후 4~6개월</v>
      </c>
    </row>
    <row r="265" spans="1:17" ht="13.95" customHeight="1" outlineLevel="3" x14ac:dyDescent="0.25">
      <c r="A265" t="s">
        <v>1</v>
      </c>
      <c r="B265" s="2">
        <v>41060</v>
      </c>
      <c r="C265" s="2">
        <v>41060</v>
      </c>
      <c r="D265" s="2">
        <v>41105</v>
      </c>
      <c r="E265" s="2"/>
      <c r="F265" t="s">
        <v>2</v>
      </c>
      <c r="G265" s="3">
        <v>45</v>
      </c>
      <c r="H265" s="4">
        <v>34926.65</v>
      </c>
      <c r="I265" t="s">
        <v>3</v>
      </c>
      <c r="J265" s="6">
        <v>1400000042</v>
      </c>
      <c r="K265" t="s">
        <v>0</v>
      </c>
      <c r="L265" s="3">
        <v>2980</v>
      </c>
      <c r="M265" s="3">
        <v>2949</v>
      </c>
      <c r="N265" t="s">
        <v>4</v>
      </c>
      <c r="O265" s="6">
        <v>1050</v>
      </c>
      <c r="P265" s="12">
        <f t="shared" si="8"/>
        <v>-197</v>
      </c>
      <c r="Q265" t="str">
        <f t="shared" si="9"/>
        <v>①연체되지 않은 채권</v>
      </c>
    </row>
    <row r="266" spans="1:17" ht="13.95" customHeight="1" outlineLevel="3" x14ac:dyDescent="0.25">
      <c r="A266" t="s">
        <v>1</v>
      </c>
      <c r="B266" s="2">
        <v>41394</v>
      </c>
      <c r="C266" s="2">
        <v>41394</v>
      </c>
      <c r="D266" s="2">
        <v>41439</v>
      </c>
      <c r="E266" s="2"/>
      <c r="F266" t="s">
        <v>2</v>
      </c>
      <c r="G266" s="3">
        <v>45</v>
      </c>
      <c r="H266" s="4">
        <v>38219.1</v>
      </c>
      <c r="I266" t="s">
        <v>3</v>
      </c>
      <c r="J266" s="6">
        <v>1400000034</v>
      </c>
      <c r="K266" t="s">
        <v>0</v>
      </c>
      <c r="L266" s="3">
        <v>2646</v>
      </c>
      <c r="M266" s="3">
        <v>2615</v>
      </c>
      <c r="N266" t="s">
        <v>4</v>
      </c>
      <c r="O266" s="6">
        <v>1050</v>
      </c>
      <c r="P266" s="12">
        <f t="shared" si="8"/>
        <v>-531</v>
      </c>
      <c r="Q266" t="str">
        <f t="shared" si="9"/>
        <v>①연체되지 않은 채권</v>
      </c>
    </row>
    <row r="267" spans="1:17" ht="13.95" customHeight="1" outlineLevel="3" x14ac:dyDescent="0.25">
      <c r="A267" t="s">
        <v>1</v>
      </c>
      <c r="B267" s="2">
        <v>41394</v>
      </c>
      <c r="C267" s="2">
        <v>41394</v>
      </c>
      <c r="D267" s="2">
        <v>41439</v>
      </c>
      <c r="E267" s="2"/>
      <c r="F267" t="s">
        <v>2</v>
      </c>
      <c r="G267" s="3">
        <v>45</v>
      </c>
      <c r="H267" s="4">
        <v>45404.65</v>
      </c>
      <c r="I267" t="s">
        <v>3</v>
      </c>
      <c r="J267" s="6">
        <v>1400000033</v>
      </c>
      <c r="K267" t="s">
        <v>0</v>
      </c>
      <c r="L267" s="3">
        <v>2646</v>
      </c>
      <c r="M267" s="3">
        <v>2615</v>
      </c>
      <c r="N267" t="s">
        <v>4</v>
      </c>
      <c r="O267" s="6">
        <v>1050</v>
      </c>
      <c r="P267" s="12">
        <f t="shared" si="8"/>
        <v>-531</v>
      </c>
      <c r="Q267" t="str">
        <f t="shared" si="9"/>
        <v>①연체되지 않은 채권</v>
      </c>
    </row>
    <row r="268" spans="1:17" ht="13.95" customHeight="1" outlineLevel="3" x14ac:dyDescent="0.25">
      <c r="A268" t="s">
        <v>1</v>
      </c>
      <c r="B268" s="2">
        <v>41394</v>
      </c>
      <c r="C268" s="2">
        <v>41394</v>
      </c>
      <c r="D268" s="2">
        <v>41439</v>
      </c>
      <c r="E268" s="2"/>
      <c r="F268" t="s">
        <v>2</v>
      </c>
      <c r="G268" s="3">
        <v>45</v>
      </c>
      <c r="H268" s="4">
        <v>19638.55</v>
      </c>
      <c r="I268" t="s">
        <v>3</v>
      </c>
      <c r="J268" s="6">
        <v>1400000032</v>
      </c>
      <c r="K268" t="s">
        <v>0</v>
      </c>
      <c r="L268" s="3">
        <v>2646</v>
      </c>
      <c r="M268" s="3">
        <v>2615</v>
      </c>
      <c r="N268" t="s">
        <v>4</v>
      </c>
      <c r="O268" s="6">
        <v>1050</v>
      </c>
      <c r="P268" s="12">
        <f t="shared" si="8"/>
        <v>-531</v>
      </c>
      <c r="Q268" t="str">
        <f t="shared" si="9"/>
        <v>①연체되지 않은 채권</v>
      </c>
    </row>
    <row r="269" spans="1:17" ht="13.95" customHeight="1" outlineLevel="3" x14ac:dyDescent="0.25">
      <c r="A269" t="s">
        <v>1</v>
      </c>
      <c r="B269" s="2">
        <v>41394</v>
      </c>
      <c r="C269" s="2">
        <v>41394</v>
      </c>
      <c r="D269" s="2">
        <v>41439</v>
      </c>
      <c r="E269" s="2"/>
      <c r="F269" t="s">
        <v>2</v>
      </c>
      <c r="G269" s="3">
        <v>45</v>
      </c>
      <c r="H269" s="4">
        <v>42041.01</v>
      </c>
      <c r="I269" t="s">
        <v>3</v>
      </c>
      <c r="J269" s="6">
        <v>1400000031</v>
      </c>
      <c r="K269" t="s">
        <v>0</v>
      </c>
      <c r="L269" s="3">
        <v>2646</v>
      </c>
      <c r="M269" s="3">
        <v>2615</v>
      </c>
      <c r="N269" t="s">
        <v>4</v>
      </c>
      <c r="O269" s="6">
        <v>1050</v>
      </c>
      <c r="P269" s="12">
        <f t="shared" si="8"/>
        <v>-531</v>
      </c>
      <c r="Q269" t="str">
        <f t="shared" si="9"/>
        <v>①연체되지 않은 채권</v>
      </c>
    </row>
    <row r="270" spans="1:17" ht="13.95" customHeight="1" outlineLevel="3" x14ac:dyDescent="0.25">
      <c r="A270" t="s">
        <v>1</v>
      </c>
      <c r="B270" s="2">
        <v>41394</v>
      </c>
      <c r="C270" s="2">
        <v>41394</v>
      </c>
      <c r="D270" s="2">
        <v>41439</v>
      </c>
      <c r="E270" s="2"/>
      <c r="F270" t="s">
        <v>2</v>
      </c>
      <c r="G270" s="3">
        <v>45</v>
      </c>
      <c r="H270" s="4">
        <v>38419.32</v>
      </c>
      <c r="I270" t="s">
        <v>3</v>
      </c>
      <c r="J270" s="6">
        <v>1400000030</v>
      </c>
      <c r="K270" t="s">
        <v>0</v>
      </c>
      <c r="L270" s="3">
        <v>2646</v>
      </c>
      <c r="M270" s="3">
        <v>2615</v>
      </c>
      <c r="N270" t="s">
        <v>4</v>
      </c>
      <c r="O270" s="6">
        <v>1050</v>
      </c>
      <c r="P270" s="12">
        <f t="shared" si="8"/>
        <v>-531</v>
      </c>
      <c r="Q270" t="str">
        <f t="shared" si="9"/>
        <v>①연체되지 않은 채권</v>
      </c>
    </row>
    <row r="271" spans="1:17" ht="13.95" customHeight="1" outlineLevel="3" x14ac:dyDescent="0.25">
      <c r="A271" t="s">
        <v>1</v>
      </c>
      <c r="B271" s="2">
        <v>41364</v>
      </c>
      <c r="C271" s="2">
        <v>41364</v>
      </c>
      <c r="D271" s="2">
        <v>41409</v>
      </c>
      <c r="E271" s="2"/>
      <c r="F271" t="s">
        <v>2</v>
      </c>
      <c r="G271" s="3">
        <v>45</v>
      </c>
      <c r="H271" s="4">
        <v>31421.68</v>
      </c>
      <c r="I271" t="s">
        <v>3</v>
      </c>
      <c r="J271" s="6">
        <v>1400000026</v>
      </c>
      <c r="K271" t="s">
        <v>0</v>
      </c>
      <c r="L271" s="3">
        <v>2676</v>
      </c>
      <c r="M271" s="3">
        <v>2645</v>
      </c>
      <c r="N271" t="s">
        <v>4</v>
      </c>
      <c r="O271" s="6">
        <v>1050</v>
      </c>
      <c r="P271" s="12">
        <f t="shared" si="8"/>
        <v>-501</v>
      </c>
      <c r="Q271" t="str">
        <f t="shared" si="9"/>
        <v>①연체되지 않은 채권</v>
      </c>
    </row>
    <row r="272" spans="1:17" ht="13.95" customHeight="1" outlineLevel="3" x14ac:dyDescent="0.25">
      <c r="A272" t="s">
        <v>1</v>
      </c>
      <c r="B272" s="2">
        <v>41364</v>
      </c>
      <c r="C272" s="2">
        <v>41364</v>
      </c>
      <c r="D272" s="2">
        <v>41409</v>
      </c>
      <c r="E272" s="2"/>
      <c r="F272" t="s">
        <v>2</v>
      </c>
      <c r="G272" s="3">
        <v>45</v>
      </c>
      <c r="H272" s="4">
        <v>34397.19</v>
      </c>
      <c r="I272" t="s">
        <v>3</v>
      </c>
      <c r="J272" s="6">
        <v>1400000025</v>
      </c>
      <c r="K272" t="s">
        <v>0</v>
      </c>
      <c r="L272" s="3">
        <v>2676</v>
      </c>
      <c r="M272" s="3">
        <v>2645</v>
      </c>
      <c r="N272" t="s">
        <v>4</v>
      </c>
      <c r="O272" s="6">
        <v>1050</v>
      </c>
      <c r="P272" s="12">
        <f t="shared" si="8"/>
        <v>-501</v>
      </c>
      <c r="Q272" t="str">
        <f t="shared" si="9"/>
        <v>①연체되지 않은 채권</v>
      </c>
    </row>
    <row r="273" spans="1:17" ht="13.95" customHeight="1" outlineLevel="3" x14ac:dyDescent="0.25">
      <c r="A273" t="s">
        <v>1</v>
      </c>
      <c r="B273" s="2">
        <v>41364</v>
      </c>
      <c r="C273" s="2">
        <v>41364</v>
      </c>
      <c r="D273" s="2">
        <v>41409</v>
      </c>
      <c r="E273" s="2"/>
      <c r="F273" t="s">
        <v>2</v>
      </c>
      <c r="G273" s="3">
        <v>45</v>
      </c>
      <c r="H273" s="4">
        <v>38419.32</v>
      </c>
      <c r="I273" t="s">
        <v>3</v>
      </c>
      <c r="J273" s="6">
        <v>1400000024</v>
      </c>
      <c r="K273" t="s">
        <v>0</v>
      </c>
      <c r="L273" s="3">
        <v>2676</v>
      </c>
      <c r="M273" s="3">
        <v>2645</v>
      </c>
      <c r="N273" t="s">
        <v>4</v>
      </c>
      <c r="O273" s="6">
        <v>1050</v>
      </c>
      <c r="P273" s="12">
        <f t="shared" si="8"/>
        <v>-501</v>
      </c>
      <c r="Q273" t="str">
        <f t="shared" si="9"/>
        <v>①연체되지 않은 채권</v>
      </c>
    </row>
    <row r="274" spans="1:17" ht="13.95" customHeight="1" outlineLevel="3" x14ac:dyDescent="0.25">
      <c r="A274" t="s">
        <v>1</v>
      </c>
      <c r="B274" s="2">
        <v>41364</v>
      </c>
      <c r="C274" s="2">
        <v>41364</v>
      </c>
      <c r="D274" s="2">
        <v>41409</v>
      </c>
      <c r="E274" s="2"/>
      <c r="F274" t="s">
        <v>2</v>
      </c>
      <c r="G274" s="3">
        <v>45</v>
      </c>
      <c r="H274" s="4">
        <v>27493.97</v>
      </c>
      <c r="I274" t="s">
        <v>3</v>
      </c>
      <c r="J274" s="6">
        <v>1400000023</v>
      </c>
      <c r="K274" t="s">
        <v>0</v>
      </c>
      <c r="L274" s="3">
        <v>2676</v>
      </c>
      <c r="M274" s="3">
        <v>2645</v>
      </c>
      <c r="N274" t="s">
        <v>4</v>
      </c>
      <c r="O274" s="6">
        <v>1050</v>
      </c>
      <c r="P274" s="12">
        <f t="shared" si="8"/>
        <v>-501</v>
      </c>
      <c r="Q274" t="str">
        <f t="shared" si="9"/>
        <v>①연체되지 않은 채권</v>
      </c>
    </row>
    <row r="275" spans="1:17" ht="13.95" customHeight="1" outlineLevel="3" x14ac:dyDescent="0.25">
      <c r="A275" t="s">
        <v>1</v>
      </c>
      <c r="B275" s="2">
        <v>41364</v>
      </c>
      <c r="C275" s="2">
        <v>41364</v>
      </c>
      <c r="D275" s="2">
        <v>41409</v>
      </c>
      <c r="E275" s="2"/>
      <c r="F275" t="s">
        <v>2</v>
      </c>
      <c r="G275" s="3">
        <v>45</v>
      </c>
      <c r="H275" s="4">
        <v>30575.279999999999</v>
      </c>
      <c r="I275" t="s">
        <v>3</v>
      </c>
      <c r="J275" s="6">
        <v>1400000022</v>
      </c>
      <c r="K275" t="s">
        <v>0</v>
      </c>
      <c r="L275" s="3">
        <v>2676</v>
      </c>
      <c r="M275" s="3">
        <v>2645</v>
      </c>
      <c r="N275" t="s">
        <v>4</v>
      </c>
      <c r="O275" s="6">
        <v>1050</v>
      </c>
      <c r="P275" s="12">
        <f t="shared" si="8"/>
        <v>-501</v>
      </c>
      <c r="Q275" t="str">
        <f t="shared" si="9"/>
        <v>①연체되지 않은 채권</v>
      </c>
    </row>
    <row r="276" spans="1:17" ht="13.95" customHeight="1" outlineLevel="3" x14ac:dyDescent="0.25">
      <c r="A276" t="s">
        <v>1</v>
      </c>
      <c r="B276" s="2">
        <v>41364</v>
      </c>
      <c r="C276" s="2">
        <v>41364</v>
      </c>
      <c r="D276" s="2">
        <v>41409</v>
      </c>
      <c r="E276" s="2"/>
      <c r="F276" t="s">
        <v>2</v>
      </c>
      <c r="G276" s="3">
        <v>45</v>
      </c>
      <c r="H276" s="4">
        <v>45404.65</v>
      </c>
      <c r="I276" t="s">
        <v>3</v>
      </c>
      <c r="J276" s="6">
        <v>1400000021</v>
      </c>
      <c r="K276" t="s">
        <v>0</v>
      </c>
      <c r="L276" s="3">
        <v>2676</v>
      </c>
      <c r="M276" s="3">
        <v>2645</v>
      </c>
      <c r="N276" t="s">
        <v>4</v>
      </c>
      <c r="O276" s="6">
        <v>1050</v>
      </c>
      <c r="P276" s="12">
        <f t="shared" si="8"/>
        <v>-501</v>
      </c>
      <c r="Q276" t="str">
        <f t="shared" si="9"/>
        <v>①연체되지 않은 채권</v>
      </c>
    </row>
    <row r="277" spans="1:17" ht="13.95" customHeight="1" outlineLevel="3" x14ac:dyDescent="0.25">
      <c r="A277" t="s">
        <v>1</v>
      </c>
      <c r="B277" s="2">
        <v>41333</v>
      </c>
      <c r="C277" s="2">
        <v>41333</v>
      </c>
      <c r="D277" s="2">
        <v>41378</v>
      </c>
      <c r="E277" s="2"/>
      <c r="F277" t="s">
        <v>2</v>
      </c>
      <c r="G277" s="3">
        <v>45</v>
      </c>
      <c r="H277" s="4">
        <v>39277.1</v>
      </c>
      <c r="I277" t="s">
        <v>3</v>
      </c>
      <c r="J277" s="6">
        <v>1400000017</v>
      </c>
      <c r="K277" t="s">
        <v>0</v>
      </c>
      <c r="L277" s="3">
        <v>2707</v>
      </c>
      <c r="M277" s="3">
        <v>2676</v>
      </c>
      <c r="N277" t="s">
        <v>4</v>
      </c>
      <c r="O277" s="6">
        <v>1050</v>
      </c>
      <c r="P277" s="12">
        <f t="shared" si="8"/>
        <v>-470</v>
      </c>
      <c r="Q277" t="str">
        <f t="shared" si="9"/>
        <v>①연체되지 않은 채권</v>
      </c>
    </row>
    <row r="278" spans="1:17" ht="13.95" customHeight="1" outlineLevel="3" x14ac:dyDescent="0.25">
      <c r="A278" t="s">
        <v>1</v>
      </c>
      <c r="B278" s="2">
        <v>41333</v>
      </c>
      <c r="C278" s="2">
        <v>41333</v>
      </c>
      <c r="D278" s="2">
        <v>41378</v>
      </c>
      <c r="E278" s="2"/>
      <c r="F278" t="s">
        <v>2</v>
      </c>
      <c r="G278" s="3">
        <v>45</v>
      </c>
      <c r="H278" s="4">
        <v>30575.279999999999</v>
      </c>
      <c r="I278" t="s">
        <v>3</v>
      </c>
      <c r="J278" s="6">
        <v>1400000016</v>
      </c>
      <c r="K278" t="s">
        <v>0</v>
      </c>
      <c r="L278" s="3">
        <v>2707</v>
      </c>
      <c r="M278" s="3">
        <v>2676</v>
      </c>
      <c r="N278" t="s">
        <v>4</v>
      </c>
      <c r="O278" s="6">
        <v>1050</v>
      </c>
      <c r="P278" s="12">
        <f t="shared" si="8"/>
        <v>-470</v>
      </c>
      <c r="Q278" t="str">
        <f t="shared" si="9"/>
        <v>①연체되지 않은 채권</v>
      </c>
    </row>
    <row r="279" spans="1:17" ht="13.95" customHeight="1" outlineLevel="3" x14ac:dyDescent="0.25">
      <c r="A279" t="s">
        <v>1</v>
      </c>
      <c r="B279" s="2">
        <v>41333</v>
      </c>
      <c r="C279" s="2">
        <v>41333</v>
      </c>
      <c r="D279" s="2">
        <v>41378</v>
      </c>
      <c r="E279" s="2"/>
      <c r="F279" t="s">
        <v>2</v>
      </c>
      <c r="G279" s="3">
        <v>45</v>
      </c>
      <c r="H279" s="4">
        <v>41911.980000000003</v>
      </c>
      <c r="I279" t="s">
        <v>3</v>
      </c>
      <c r="J279" s="6">
        <v>1400000015</v>
      </c>
      <c r="K279" t="s">
        <v>0</v>
      </c>
      <c r="L279" s="3">
        <v>2707</v>
      </c>
      <c r="M279" s="3">
        <v>2676</v>
      </c>
      <c r="N279" t="s">
        <v>4</v>
      </c>
      <c r="O279" s="6">
        <v>1050</v>
      </c>
      <c r="P279" s="12">
        <f t="shared" si="8"/>
        <v>-470</v>
      </c>
      <c r="Q279" t="str">
        <f t="shared" si="9"/>
        <v>①연체되지 않은 채권</v>
      </c>
    </row>
    <row r="280" spans="1:17" ht="13.95" customHeight="1" outlineLevel="3" x14ac:dyDescent="0.25">
      <c r="A280" t="s">
        <v>1</v>
      </c>
      <c r="B280" s="2">
        <v>41333</v>
      </c>
      <c r="C280" s="2">
        <v>41333</v>
      </c>
      <c r="D280" s="2">
        <v>41378</v>
      </c>
      <c r="E280" s="2"/>
      <c r="F280" t="s">
        <v>2</v>
      </c>
      <c r="G280" s="3">
        <v>45</v>
      </c>
      <c r="H280" s="4">
        <v>35349.39</v>
      </c>
      <c r="I280" t="s">
        <v>3</v>
      </c>
      <c r="J280" s="6">
        <v>1400000014</v>
      </c>
      <c r="K280" t="s">
        <v>0</v>
      </c>
      <c r="L280" s="3">
        <v>2707</v>
      </c>
      <c r="M280" s="3">
        <v>2676</v>
      </c>
      <c r="N280" t="s">
        <v>4</v>
      </c>
      <c r="O280" s="6">
        <v>1050</v>
      </c>
      <c r="P280" s="12">
        <f t="shared" si="8"/>
        <v>-470</v>
      </c>
      <c r="Q280" t="str">
        <f t="shared" si="9"/>
        <v>①연체되지 않은 채권</v>
      </c>
    </row>
    <row r="281" spans="1:17" ht="13.95" customHeight="1" outlineLevel="3" x14ac:dyDescent="0.25">
      <c r="A281" t="s">
        <v>1</v>
      </c>
      <c r="B281" s="2">
        <v>41333</v>
      </c>
      <c r="C281" s="2">
        <v>41333</v>
      </c>
      <c r="D281" s="2">
        <v>41378</v>
      </c>
      <c r="E281" s="2"/>
      <c r="F281" t="s">
        <v>2</v>
      </c>
      <c r="G281" s="3">
        <v>45</v>
      </c>
      <c r="H281" s="4">
        <v>22931.46</v>
      </c>
      <c r="I281" t="s">
        <v>3</v>
      </c>
      <c r="J281" s="6">
        <v>1400000013</v>
      </c>
      <c r="K281" t="s">
        <v>0</v>
      </c>
      <c r="L281" s="3">
        <v>2707</v>
      </c>
      <c r="M281" s="3">
        <v>2676</v>
      </c>
      <c r="N281" t="s">
        <v>4</v>
      </c>
      <c r="O281" s="6">
        <v>1050</v>
      </c>
      <c r="P281" s="12">
        <f t="shared" si="8"/>
        <v>-470</v>
      </c>
      <c r="Q281" t="str">
        <f t="shared" si="9"/>
        <v>①연체되지 않은 채권</v>
      </c>
    </row>
    <row r="282" spans="1:17" ht="13.95" customHeight="1" outlineLevel="3" x14ac:dyDescent="0.25">
      <c r="A282" t="s">
        <v>1</v>
      </c>
      <c r="B282" s="2">
        <v>41333</v>
      </c>
      <c r="C282" s="2">
        <v>41333</v>
      </c>
      <c r="D282" s="2">
        <v>41378</v>
      </c>
      <c r="E282" s="2"/>
      <c r="F282" t="s">
        <v>2</v>
      </c>
      <c r="G282" s="3">
        <v>45</v>
      </c>
      <c r="H282" s="4">
        <v>48897.31</v>
      </c>
      <c r="I282" t="s">
        <v>3</v>
      </c>
      <c r="J282" s="6">
        <v>1400000012</v>
      </c>
      <c r="K282" t="s">
        <v>0</v>
      </c>
      <c r="L282" s="3">
        <v>2707</v>
      </c>
      <c r="M282" s="3">
        <v>2676</v>
      </c>
      <c r="N282" t="s">
        <v>4</v>
      </c>
      <c r="O282" s="6">
        <v>1050</v>
      </c>
      <c r="P282" s="12">
        <f t="shared" si="8"/>
        <v>-470</v>
      </c>
      <c r="Q282" t="str">
        <f t="shared" si="9"/>
        <v>①연체되지 않은 채권</v>
      </c>
    </row>
    <row r="283" spans="1:17" ht="13.95" customHeight="1" outlineLevel="3" x14ac:dyDescent="0.25">
      <c r="A283" t="s">
        <v>1</v>
      </c>
      <c r="B283" s="2">
        <v>41305</v>
      </c>
      <c r="C283" s="2">
        <v>41305</v>
      </c>
      <c r="D283" s="2">
        <v>41350</v>
      </c>
      <c r="E283" s="2"/>
      <c r="F283" t="s">
        <v>2</v>
      </c>
      <c r="G283" s="3">
        <v>45</v>
      </c>
      <c r="H283" s="4">
        <v>35349.39</v>
      </c>
      <c r="I283" t="s">
        <v>3</v>
      </c>
      <c r="J283" s="6">
        <v>1400000008</v>
      </c>
      <c r="K283" t="s">
        <v>0</v>
      </c>
      <c r="L283" s="3">
        <v>2735</v>
      </c>
      <c r="M283" s="3">
        <v>2704</v>
      </c>
      <c r="N283" t="s">
        <v>4</v>
      </c>
      <c r="O283" s="6">
        <v>1050</v>
      </c>
      <c r="P283" s="12">
        <f t="shared" si="8"/>
        <v>-442</v>
      </c>
      <c r="Q283" t="str">
        <f t="shared" si="9"/>
        <v>①연체되지 않은 채권</v>
      </c>
    </row>
    <row r="284" spans="1:17" ht="13.95" customHeight="1" outlineLevel="3" x14ac:dyDescent="0.25">
      <c r="A284" t="s">
        <v>1</v>
      </c>
      <c r="B284" s="2">
        <v>41305</v>
      </c>
      <c r="C284" s="2">
        <v>41305</v>
      </c>
      <c r="D284" s="2">
        <v>41350</v>
      </c>
      <c r="E284" s="2"/>
      <c r="F284" t="s">
        <v>2</v>
      </c>
      <c r="G284" s="3">
        <v>45</v>
      </c>
      <c r="H284" s="4">
        <v>26753.37</v>
      </c>
      <c r="I284" t="s">
        <v>3</v>
      </c>
      <c r="J284" s="6">
        <v>1400000007</v>
      </c>
      <c r="K284" t="s">
        <v>0</v>
      </c>
      <c r="L284" s="3">
        <v>2735</v>
      </c>
      <c r="M284" s="3">
        <v>2704</v>
      </c>
      <c r="N284" t="s">
        <v>4</v>
      </c>
      <c r="O284" s="6">
        <v>1050</v>
      </c>
      <c r="P284" s="12">
        <f t="shared" si="8"/>
        <v>-442</v>
      </c>
      <c r="Q284" t="str">
        <f t="shared" si="9"/>
        <v>①연체되지 않은 채권</v>
      </c>
    </row>
    <row r="285" spans="1:17" ht="13.95" customHeight="1" outlineLevel="3" x14ac:dyDescent="0.25">
      <c r="A285" t="s">
        <v>1</v>
      </c>
      <c r="B285" s="2">
        <v>41305</v>
      </c>
      <c r="C285" s="2">
        <v>41305</v>
      </c>
      <c r="D285" s="2">
        <v>41350</v>
      </c>
      <c r="E285" s="2"/>
      <c r="F285" t="s">
        <v>2</v>
      </c>
      <c r="G285" s="3">
        <v>45</v>
      </c>
      <c r="H285" s="4">
        <v>38419.32</v>
      </c>
      <c r="I285" t="s">
        <v>3</v>
      </c>
      <c r="J285" s="6">
        <v>1400000006</v>
      </c>
      <c r="K285" t="s">
        <v>0</v>
      </c>
      <c r="L285" s="3">
        <v>2735</v>
      </c>
      <c r="M285" s="3">
        <v>2704</v>
      </c>
      <c r="N285" t="s">
        <v>4</v>
      </c>
      <c r="O285" s="6">
        <v>1050</v>
      </c>
      <c r="P285" s="12">
        <f t="shared" si="8"/>
        <v>-442</v>
      </c>
      <c r="Q285" t="str">
        <f t="shared" si="9"/>
        <v>①연체되지 않은 채권</v>
      </c>
    </row>
    <row r="286" spans="1:17" ht="13.95" customHeight="1" outlineLevel="3" x14ac:dyDescent="0.25">
      <c r="A286" t="s">
        <v>1</v>
      </c>
      <c r="B286" s="2">
        <v>41305</v>
      </c>
      <c r="C286" s="2">
        <v>41305</v>
      </c>
      <c r="D286" s="2">
        <v>41350</v>
      </c>
      <c r="E286" s="2"/>
      <c r="F286" t="s">
        <v>2</v>
      </c>
      <c r="G286" s="3">
        <v>45</v>
      </c>
      <c r="H286" s="4">
        <v>39277.1</v>
      </c>
      <c r="I286" t="s">
        <v>3</v>
      </c>
      <c r="J286" s="6">
        <v>1400000005</v>
      </c>
      <c r="K286" t="s">
        <v>0</v>
      </c>
      <c r="L286" s="3">
        <v>2735</v>
      </c>
      <c r="M286" s="3">
        <v>2704</v>
      </c>
      <c r="N286" t="s">
        <v>4</v>
      </c>
      <c r="O286" s="6">
        <v>1050</v>
      </c>
      <c r="P286" s="12">
        <f t="shared" si="8"/>
        <v>-442</v>
      </c>
      <c r="Q286" t="str">
        <f t="shared" si="9"/>
        <v>①연체되지 않은 채권</v>
      </c>
    </row>
    <row r="287" spans="1:17" ht="13.95" customHeight="1" outlineLevel="3" x14ac:dyDescent="0.25">
      <c r="A287" t="s">
        <v>1</v>
      </c>
      <c r="B287" s="2">
        <v>41305</v>
      </c>
      <c r="C287" s="2">
        <v>41305</v>
      </c>
      <c r="D287" s="2">
        <v>41350</v>
      </c>
      <c r="E287" s="2"/>
      <c r="F287" t="s">
        <v>2</v>
      </c>
      <c r="G287" s="3">
        <v>45</v>
      </c>
      <c r="H287" s="4">
        <v>22931.46</v>
      </c>
      <c r="I287" t="s">
        <v>3</v>
      </c>
      <c r="J287" s="6">
        <v>1400000004</v>
      </c>
      <c r="K287" t="s">
        <v>0</v>
      </c>
      <c r="L287" s="3">
        <v>2735</v>
      </c>
      <c r="M287" s="3">
        <v>2704</v>
      </c>
      <c r="N287" t="s">
        <v>4</v>
      </c>
      <c r="O287" s="6">
        <v>1050</v>
      </c>
      <c r="P287" s="12">
        <f t="shared" si="8"/>
        <v>-442</v>
      </c>
      <c r="Q287" t="str">
        <f t="shared" si="9"/>
        <v>①연체되지 않은 채권</v>
      </c>
    </row>
    <row r="288" spans="1:17" ht="13.95" customHeight="1" outlineLevel="3" x14ac:dyDescent="0.25">
      <c r="A288" t="s">
        <v>1</v>
      </c>
      <c r="B288" s="2">
        <v>41394</v>
      </c>
      <c r="C288" s="2">
        <v>41394</v>
      </c>
      <c r="D288" s="2">
        <v>41439</v>
      </c>
      <c r="E288" s="2"/>
      <c r="F288" t="s">
        <v>2</v>
      </c>
      <c r="G288" s="3">
        <v>45</v>
      </c>
      <c r="H288" s="4">
        <v>23566.26</v>
      </c>
      <c r="I288" t="s">
        <v>3</v>
      </c>
      <c r="J288" s="6">
        <v>1400000035</v>
      </c>
      <c r="K288" t="s">
        <v>0</v>
      </c>
      <c r="L288" s="3">
        <v>2646</v>
      </c>
      <c r="M288" s="3">
        <v>2615</v>
      </c>
      <c r="N288" t="s">
        <v>4</v>
      </c>
      <c r="O288" s="6">
        <v>1050</v>
      </c>
      <c r="P288" s="12">
        <f t="shared" si="8"/>
        <v>-531</v>
      </c>
      <c r="Q288" t="str">
        <f t="shared" si="9"/>
        <v>①연체되지 않은 채권</v>
      </c>
    </row>
    <row r="289" spans="1:17" ht="13.95" customHeight="1" outlineLevel="3" x14ac:dyDescent="0.25">
      <c r="A289" t="s">
        <v>1</v>
      </c>
      <c r="B289" s="2">
        <v>42490</v>
      </c>
      <c r="C289" s="2">
        <v>42490</v>
      </c>
      <c r="D289" s="2">
        <v>42535</v>
      </c>
      <c r="E289" s="2"/>
      <c r="F289" t="s">
        <v>2</v>
      </c>
      <c r="G289" s="3">
        <v>45</v>
      </c>
      <c r="H289" s="4">
        <v>500</v>
      </c>
      <c r="I289" t="s">
        <v>3</v>
      </c>
      <c r="J289" s="6">
        <v>1400000006</v>
      </c>
      <c r="K289" t="s">
        <v>0</v>
      </c>
      <c r="L289" s="3">
        <v>1550</v>
      </c>
      <c r="M289" s="3">
        <v>1519</v>
      </c>
      <c r="N289" t="s">
        <v>4</v>
      </c>
      <c r="O289" s="6">
        <v>1050</v>
      </c>
      <c r="P289" s="12">
        <f t="shared" si="8"/>
        <v>-1627</v>
      </c>
      <c r="Q289" t="str">
        <f t="shared" si="9"/>
        <v>①연체되지 않은 채권</v>
      </c>
    </row>
    <row r="290" spans="1:17" ht="13.95" customHeight="1" outlineLevel="3" x14ac:dyDescent="0.25">
      <c r="A290" t="s">
        <v>1</v>
      </c>
      <c r="B290" s="2">
        <v>42490</v>
      </c>
      <c r="C290" s="2">
        <v>42490</v>
      </c>
      <c r="D290" s="2">
        <v>42535</v>
      </c>
      <c r="E290" s="2"/>
      <c r="F290" t="s">
        <v>2</v>
      </c>
      <c r="G290" s="3">
        <v>45</v>
      </c>
      <c r="H290" s="4">
        <v>1000</v>
      </c>
      <c r="I290" t="s">
        <v>3</v>
      </c>
      <c r="J290" s="6">
        <v>1400000005</v>
      </c>
      <c r="K290" t="s">
        <v>0</v>
      </c>
      <c r="L290" s="3">
        <v>1550</v>
      </c>
      <c r="M290" s="3">
        <v>1519</v>
      </c>
      <c r="N290" t="s">
        <v>4</v>
      </c>
      <c r="O290" s="6">
        <v>1050</v>
      </c>
      <c r="P290" s="12">
        <f t="shared" si="8"/>
        <v>-1627</v>
      </c>
      <c r="Q290" t="str">
        <f t="shared" si="9"/>
        <v>①연체되지 않은 채권</v>
      </c>
    </row>
    <row r="291" spans="1:17" ht="13.95" customHeight="1" outlineLevel="3" x14ac:dyDescent="0.25">
      <c r="A291" t="s">
        <v>1</v>
      </c>
      <c r="B291" s="2">
        <v>42247</v>
      </c>
      <c r="C291" s="2">
        <v>42247</v>
      </c>
      <c r="D291" s="2">
        <v>42292</v>
      </c>
      <c r="E291" s="2"/>
      <c r="F291" t="s">
        <v>2</v>
      </c>
      <c r="G291" s="3">
        <v>45</v>
      </c>
      <c r="H291" s="4">
        <v>500</v>
      </c>
      <c r="I291" t="s">
        <v>3</v>
      </c>
      <c r="J291" s="6">
        <v>1400000058</v>
      </c>
      <c r="K291" t="s">
        <v>0</v>
      </c>
      <c r="L291" s="3">
        <v>1793</v>
      </c>
      <c r="M291" s="3">
        <v>1762</v>
      </c>
      <c r="N291" t="s">
        <v>4</v>
      </c>
      <c r="O291" s="6">
        <v>1050</v>
      </c>
      <c r="P291" s="12">
        <f t="shared" si="8"/>
        <v>-1384</v>
      </c>
      <c r="Q291" t="str">
        <f t="shared" si="9"/>
        <v>①연체되지 않은 채권</v>
      </c>
    </row>
    <row r="292" spans="1:17" ht="13.95" customHeight="1" outlineLevel="3" x14ac:dyDescent="0.25">
      <c r="A292" t="s">
        <v>1</v>
      </c>
      <c r="B292" s="2">
        <v>42247</v>
      </c>
      <c r="C292" s="2">
        <v>42247</v>
      </c>
      <c r="D292" s="2">
        <v>42292</v>
      </c>
      <c r="E292" s="2"/>
      <c r="F292" t="s">
        <v>2</v>
      </c>
      <c r="G292" s="3">
        <v>45</v>
      </c>
      <c r="H292" s="4">
        <v>500</v>
      </c>
      <c r="I292" t="s">
        <v>3</v>
      </c>
      <c r="J292" s="6">
        <v>1400000057</v>
      </c>
      <c r="K292" t="s">
        <v>0</v>
      </c>
      <c r="L292" s="3">
        <v>1793</v>
      </c>
      <c r="M292" s="3">
        <v>1762</v>
      </c>
      <c r="N292" t="s">
        <v>4</v>
      </c>
      <c r="O292" s="6">
        <v>1050</v>
      </c>
      <c r="P292" s="12">
        <f t="shared" si="8"/>
        <v>-1384</v>
      </c>
      <c r="Q292" t="str">
        <f t="shared" si="9"/>
        <v>①연체되지 않은 채권</v>
      </c>
    </row>
    <row r="293" spans="1:17" ht="13.95" customHeight="1" outlineLevel="3" x14ac:dyDescent="0.25">
      <c r="A293" t="s">
        <v>1</v>
      </c>
      <c r="B293" s="2">
        <v>42237</v>
      </c>
      <c r="C293" s="2">
        <v>42237</v>
      </c>
      <c r="D293" s="2">
        <v>42237</v>
      </c>
      <c r="E293" s="2"/>
      <c r="F293" t="s">
        <v>2</v>
      </c>
      <c r="G293" s="3">
        <v>0</v>
      </c>
      <c r="H293" s="4">
        <v>1000</v>
      </c>
      <c r="I293" t="s">
        <v>3</v>
      </c>
      <c r="J293" s="6">
        <v>1400000051</v>
      </c>
      <c r="K293" t="s">
        <v>0</v>
      </c>
      <c r="L293" s="3">
        <v>1817</v>
      </c>
      <c r="M293" s="3">
        <v>1817</v>
      </c>
      <c r="N293" t="s">
        <v>4</v>
      </c>
      <c r="O293" s="6">
        <v>1050</v>
      </c>
      <c r="P293" s="12">
        <f t="shared" si="8"/>
        <v>-1329</v>
      </c>
      <c r="Q293" t="str">
        <f t="shared" si="9"/>
        <v>①연체되지 않은 채권</v>
      </c>
    </row>
    <row r="294" spans="1:17" ht="13.95" customHeight="1" outlineLevel="3" x14ac:dyDescent="0.25">
      <c r="A294" t="s">
        <v>1</v>
      </c>
      <c r="B294" s="2">
        <v>41669</v>
      </c>
      <c r="C294" s="2">
        <v>41669</v>
      </c>
      <c r="D294" s="2">
        <v>41714</v>
      </c>
      <c r="E294" s="2"/>
      <c r="F294" t="s">
        <v>2</v>
      </c>
      <c r="G294" s="3">
        <v>45</v>
      </c>
      <c r="H294" s="4">
        <v>110</v>
      </c>
      <c r="I294" t="s">
        <v>3</v>
      </c>
      <c r="J294" s="6">
        <v>1400000000</v>
      </c>
      <c r="K294" t="s">
        <v>0</v>
      </c>
      <c r="L294" s="3">
        <v>2371</v>
      </c>
      <c r="M294" s="3">
        <v>2340</v>
      </c>
      <c r="N294" t="s">
        <v>4</v>
      </c>
      <c r="O294" s="6">
        <v>1050</v>
      </c>
      <c r="P294" s="12">
        <f t="shared" si="8"/>
        <v>-806</v>
      </c>
      <c r="Q294" t="str">
        <f t="shared" si="9"/>
        <v>①연체되지 않은 채권</v>
      </c>
    </row>
    <row r="295" spans="1:17" ht="13.95" customHeight="1" outlineLevel="3" x14ac:dyDescent="0.25">
      <c r="A295" t="s">
        <v>1</v>
      </c>
      <c r="B295" s="2">
        <v>41547</v>
      </c>
      <c r="C295" s="2">
        <v>41547</v>
      </c>
      <c r="D295" s="2">
        <v>41592</v>
      </c>
      <c r="E295" s="2"/>
      <c r="F295" t="s">
        <v>2</v>
      </c>
      <c r="G295" s="3">
        <v>45</v>
      </c>
      <c r="H295" s="4">
        <v>575</v>
      </c>
      <c r="I295" t="s">
        <v>3</v>
      </c>
      <c r="J295" s="6">
        <v>1400000064</v>
      </c>
      <c r="K295" t="s">
        <v>0</v>
      </c>
      <c r="L295" s="3">
        <v>2493</v>
      </c>
      <c r="M295" s="3">
        <v>2462</v>
      </c>
      <c r="N295" t="s">
        <v>4</v>
      </c>
      <c r="O295" s="6">
        <v>1050</v>
      </c>
      <c r="P295" s="12">
        <f t="shared" si="8"/>
        <v>-684</v>
      </c>
      <c r="Q295" t="str">
        <f t="shared" si="9"/>
        <v>①연체되지 않은 채권</v>
      </c>
    </row>
    <row r="296" spans="1:17" ht="13.95" customHeight="1" outlineLevel="3" x14ac:dyDescent="0.25">
      <c r="A296" t="s">
        <v>1</v>
      </c>
      <c r="B296" s="2">
        <v>41547</v>
      </c>
      <c r="C296" s="2">
        <v>41547</v>
      </c>
      <c r="D296" s="2">
        <v>41592</v>
      </c>
      <c r="E296" s="2"/>
      <c r="F296" t="s">
        <v>2</v>
      </c>
      <c r="G296" s="3">
        <v>45</v>
      </c>
      <c r="H296" s="4">
        <v>575</v>
      </c>
      <c r="I296" t="s">
        <v>3</v>
      </c>
      <c r="J296" s="6">
        <v>1400000063</v>
      </c>
      <c r="K296" t="s">
        <v>0</v>
      </c>
      <c r="L296" s="3">
        <v>2493</v>
      </c>
      <c r="M296" s="3">
        <v>2462</v>
      </c>
      <c r="N296" t="s">
        <v>4</v>
      </c>
      <c r="O296" s="6">
        <v>1050</v>
      </c>
      <c r="P296" s="12">
        <f t="shared" si="8"/>
        <v>-684</v>
      </c>
      <c r="Q296" t="str">
        <f t="shared" si="9"/>
        <v>①연체되지 않은 채권</v>
      </c>
    </row>
    <row r="297" spans="1:17" ht="13.95" customHeight="1" outlineLevel="3" x14ac:dyDescent="0.25">
      <c r="A297" t="s">
        <v>1</v>
      </c>
      <c r="B297" s="2">
        <v>41547</v>
      </c>
      <c r="C297" s="2">
        <v>41547</v>
      </c>
      <c r="D297" s="2">
        <v>41592</v>
      </c>
      <c r="E297" s="2"/>
      <c r="F297" t="s">
        <v>2</v>
      </c>
      <c r="G297" s="3">
        <v>45</v>
      </c>
      <c r="H297" s="4">
        <v>5922.5</v>
      </c>
      <c r="I297" t="s">
        <v>3</v>
      </c>
      <c r="J297" s="6">
        <v>1400000062</v>
      </c>
      <c r="K297" t="s">
        <v>0</v>
      </c>
      <c r="L297" s="3">
        <v>2493</v>
      </c>
      <c r="M297" s="3">
        <v>2462</v>
      </c>
      <c r="N297" t="s">
        <v>4</v>
      </c>
      <c r="O297" s="6">
        <v>1050</v>
      </c>
      <c r="P297" s="12">
        <f t="shared" si="8"/>
        <v>-684</v>
      </c>
      <c r="Q297" t="str">
        <f t="shared" si="9"/>
        <v>①연체되지 않은 채권</v>
      </c>
    </row>
    <row r="298" spans="1:17" ht="13.95" customHeight="1" outlineLevel="3" x14ac:dyDescent="0.25">
      <c r="A298" t="s">
        <v>1</v>
      </c>
      <c r="B298" s="2">
        <v>41547</v>
      </c>
      <c r="C298" s="2">
        <v>41547</v>
      </c>
      <c r="D298" s="2">
        <v>41592</v>
      </c>
      <c r="E298" s="2"/>
      <c r="F298" t="s">
        <v>2</v>
      </c>
      <c r="G298" s="3">
        <v>45</v>
      </c>
      <c r="H298" s="4">
        <v>2875</v>
      </c>
      <c r="I298" t="s">
        <v>3</v>
      </c>
      <c r="J298" s="6">
        <v>1400000061</v>
      </c>
      <c r="K298" t="s">
        <v>0</v>
      </c>
      <c r="L298" s="3">
        <v>2493</v>
      </c>
      <c r="M298" s="3">
        <v>2462</v>
      </c>
      <c r="N298" t="s">
        <v>4</v>
      </c>
      <c r="O298" s="6">
        <v>1050</v>
      </c>
      <c r="P298" s="12">
        <f t="shared" si="8"/>
        <v>-684</v>
      </c>
      <c r="Q298" t="str">
        <f t="shared" si="9"/>
        <v>①연체되지 않은 채권</v>
      </c>
    </row>
    <row r="299" spans="1:17" ht="13.95" customHeight="1" outlineLevel="3" x14ac:dyDescent="0.25">
      <c r="A299" t="s">
        <v>1</v>
      </c>
      <c r="B299" s="2">
        <v>41455</v>
      </c>
      <c r="C299" s="2">
        <v>41455</v>
      </c>
      <c r="D299" s="2">
        <v>41500</v>
      </c>
      <c r="E299" s="2"/>
      <c r="F299" t="s">
        <v>2</v>
      </c>
      <c r="G299" s="3">
        <v>45</v>
      </c>
      <c r="H299" s="4">
        <v>15710.84</v>
      </c>
      <c r="I299" t="s">
        <v>3</v>
      </c>
      <c r="J299" s="6">
        <v>1400000053</v>
      </c>
      <c r="K299" t="s">
        <v>0</v>
      </c>
      <c r="L299" s="3">
        <v>2585</v>
      </c>
      <c r="M299" s="3">
        <v>2554</v>
      </c>
      <c r="N299" t="s">
        <v>4</v>
      </c>
      <c r="O299" s="6">
        <v>1050</v>
      </c>
      <c r="P299" s="12">
        <f t="shared" si="8"/>
        <v>-592</v>
      </c>
      <c r="Q299" t="str">
        <f t="shared" si="9"/>
        <v>①연체되지 않은 채권</v>
      </c>
    </row>
    <row r="300" spans="1:17" ht="13.95" customHeight="1" outlineLevel="3" x14ac:dyDescent="0.25">
      <c r="A300" t="s">
        <v>1</v>
      </c>
      <c r="B300" s="2">
        <v>41455</v>
      </c>
      <c r="C300" s="2">
        <v>41455</v>
      </c>
      <c r="D300" s="2">
        <v>41500</v>
      </c>
      <c r="E300" s="2"/>
      <c r="F300" t="s">
        <v>2</v>
      </c>
      <c r="G300" s="3">
        <v>45</v>
      </c>
      <c r="H300" s="4">
        <v>57328.65</v>
      </c>
      <c r="I300" t="s">
        <v>3</v>
      </c>
      <c r="J300" s="6">
        <v>1400000052</v>
      </c>
      <c r="K300" t="s">
        <v>0</v>
      </c>
      <c r="L300" s="3">
        <v>2585</v>
      </c>
      <c r="M300" s="3">
        <v>2554</v>
      </c>
      <c r="N300" t="s">
        <v>4</v>
      </c>
      <c r="O300" s="6">
        <v>1050</v>
      </c>
      <c r="P300" s="12">
        <f t="shared" si="8"/>
        <v>-592</v>
      </c>
      <c r="Q300" t="str">
        <f t="shared" si="9"/>
        <v>①연체되지 않은 채권</v>
      </c>
    </row>
    <row r="301" spans="1:17" ht="13.95" customHeight="1" outlineLevel="3" x14ac:dyDescent="0.25">
      <c r="A301" t="s">
        <v>1</v>
      </c>
      <c r="B301" s="2">
        <v>41455</v>
      </c>
      <c r="C301" s="2">
        <v>41455</v>
      </c>
      <c r="D301" s="2">
        <v>41500</v>
      </c>
      <c r="E301" s="2"/>
      <c r="F301" t="s">
        <v>2</v>
      </c>
      <c r="G301" s="3">
        <v>45</v>
      </c>
      <c r="H301" s="4">
        <v>27941.32</v>
      </c>
      <c r="I301" t="s">
        <v>3</v>
      </c>
      <c r="J301" s="6">
        <v>1400000051</v>
      </c>
      <c r="K301" t="s">
        <v>0</v>
      </c>
      <c r="L301" s="3">
        <v>2585</v>
      </c>
      <c r="M301" s="3">
        <v>2554</v>
      </c>
      <c r="N301" t="s">
        <v>4</v>
      </c>
      <c r="O301" s="6">
        <v>1050</v>
      </c>
      <c r="P301" s="12">
        <f t="shared" si="8"/>
        <v>-592</v>
      </c>
      <c r="Q301" t="str">
        <f t="shared" si="9"/>
        <v>①연체되지 않은 채권</v>
      </c>
    </row>
    <row r="302" spans="1:17" ht="13.95" customHeight="1" outlineLevel="3" x14ac:dyDescent="0.25">
      <c r="A302" t="s">
        <v>1</v>
      </c>
      <c r="B302" s="2">
        <v>41455</v>
      </c>
      <c r="C302" s="2">
        <v>41455</v>
      </c>
      <c r="D302" s="2">
        <v>41500</v>
      </c>
      <c r="E302" s="2"/>
      <c r="F302" t="s">
        <v>2</v>
      </c>
      <c r="G302" s="3">
        <v>45</v>
      </c>
      <c r="H302" s="4">
        <v>23566.26</v>
      </c>
      <c r="I302" t="s">
        <v>3</v>
      </c>
      <c r="J302" s="6">
        <v>1400000050</v>
      </c>
      <c r="K302" t="s">
        <v>0</v>
      </c>
      <c r="L302" s="3">
        <v>2585</v>
      </c>
      <c r="M302" s="3">
        <v>2554</v>
      </c>
      <c r="N302" t="s">
        <v>4</v>
      </c>
      <c r="O302" s="6">
        <v>1050</v>
      </c>
      <c r="P302" s="12">
        <f t="shared" si="8"/>
        <v>-592</v>
      </c>
      <c r="Q302" t="str">
        <f t="shared" si="9"/>
        <v>①연체되지 않은 채권</v>
      </c>
    </row>
    <row r="303" spans="1:17" ht="13.95" customHeight="1" outlineLevel="3" x14ac:dyDescent="0.25">
      <c r="A303" t="s">
        <v>1</v>
      </c>
      <c r="B303" s="2">
        <v>41455</v>
      </c>
      <c r="C303" s="2">
        <v>41455</v>
      </c>
      <c r="D303" s="2">
        <v>41500</v>
      </c>
      <c r="E303" s="2"/>
      <c r="F303" t="s">
        <v>2</v>
      </c>
      <c r="G303" s="3">
        <v>45</v>
      </c>
      <c r="H303" s="4">
        <v>53506.74</v>
      </c>
      <c r="I303" t="s">
        <v>3</v>
      </c>
      <c r="J303" s="6">
        <v>1400000049</v>
      </c>
      <c r="K303" t="s">
        <v>0</v>
      </c>
      <c r="L303" s="3">
        <v>2585</v>
      </c>
      <c r="M303" s="3">
        <v>2554</v>
      </c>
      <c r="N303" t="s">
        <v>4</v>
      </c>
      <c r="O303" s="6">
        <v>1050</v>
      </c>
      <c r="P303" s="12">
        <f t="shared" si="8"/>
        <v>-592</v>
      </c>
      <c r="Q303" t="str">
        <f t="shared" si="9"/>
        <v>①연체되지 않은 채권</v>
      </c>
    </row>
    <row r="304" spans="1:17" ht="13.95" customHeight="1" outlineLevel="3" x14ac:dyDescent="0.25">
      <c r="A304" t="s">
        <v>1</v>
      </c>
      <c r="B304" s="2">
        <v>41455</v>
      </c>
      <c r="C304" s="2">
        <v>41455</v>
      </c>
      <c r="D304" s="2">
        <v>41500</v>
      </c>
      <c r="E304" s="2"/>
      <c r="F304" t="s">
        <v>2</v>
      </c>
      <c r="G304" s="3">
        <v>45</v>
      </c>
      <c r="H304" s="4">
        <v>27941.32</v>
      </c>
      <c r="I304" t="s">
        <v>3</v>
      </c>
      <c r="J304" s="6">
        <v>1400000048</v>
      </c>
      <c r="K304" t="s">
        <v>0</v>
      </c>
      <c r="L304" s="3">
        <v>2585</v>
      </c>
      <c r="M304" s="3">
        <v>2554</v>
      </c>
      <c r="N304" t="s">
        <v>4</v>
      </c>
      <c r="O304" s="6">
        <v>1050</v>
      </c>
      <c r="P304" s="12">
        <f t="shared" si="8"/>
        <v>-592</v>
      </c>
      <c r="Q304" t="str">
        <f t="shared" si="9"/>
        <v>①연체되지 않은 채권</v>
      </c>
    </row>
    <row r="305" spans="1:17" ht="13.95" customHeight="1" outlineLevel="3" x14ac:dyDescent="0.25">
      <c r="A305" t="s">
        <v>1</v>
      </c>
      <c r="B305" s="2">
        <v>41425</v>
      </c>
      <c r="C305" s="2">
        <v>41425</v>
      </c>
      <c r="D305" s="2">
        <v>41470</v>
      </c>
      <c r="E305" s="2"/>
      <c r="F305" t="s">
        <v>2</v>
      </c>
      <c r="G305" s="3">
        <v>45</v>
      </c>
      <c r="H305" s="4">
        <v>15710.84</v>
      </c>
      <c r="I305" t="s">
        <v>3</v>
      </c>
      <c r="J305" s="6">
        <v>1400000044</v>
      </c>
      <c r="K305" t="s">
        <v>0</v>
      </c>
      <c r="L305" s="3">
        <v>2615</v>
      </c>
      <c r="M305" s="3">
        <v>2584</v>
      </c>
      <c r="N305" t="s">
        <v>4</v>
      </c>
      <c r="O305" s="6">
        <v>1050</v>
      </c>
      <c r="P305" s="12">
        <f t="shared" si="8"/>
        <v>-562</v>
      </c>
      <c r="Q305" t="str">
        <f t="shared" si="9"/>
        <v>①연체되지 않은 채권</v>
      </c>
    </row>
    <row r="306" spans="1:17" ht="13.95" customHeight="1" outlineLevel="3" x14ac:dyDescent="0.25">
      <c r="A306" t="s">
        <v>1</v>
      </c>
      <c r="B306" s="2">
        <v>41425</v>
      </c>
      <c r="C306" s="2">
        <v>41425</v>
      </c>
      <c r="D306" s="2">
        <v>41470</v>
      </c>
      <c r="E306" s="2"/>
      <c r="F306" t="s">
        <v>2</v>
      </c>
      <c r="G306" s="3">
        <v>45</v>
      </c>
      <c r="H306" s="4">
        <v>45862.92</v>
      </c>
      <c r="I306" t="s">
        <v>3</v>
      </c>
      <c r="J306" s="6">
        <v>1400000043</v>
      </c>
      <c r="K306" t="s">
        <v>0</v>
      </c>
      <c r="L306" s="3">
        <v>2615</v>
      </c>
      <c r="M306" s="3">
        <v>2584</v>
      </c>
      <c r="N306" t="s">
        <v>4</v>
      </c>
      <c r="O306" s="6">
        <v>1050</v>
      </c>
      <c r="P306" s="12">
        <f t="shared" si="8"/>
        <v>-562</v>
      </c>
      <c r="Q306" t="str">
        <f t="shared" si="9"/>
        <v>①연체되지 않은 채권</v>
      </c>
    </row>
    <row r="307" spans="1:17" ht="13.95" customHeight="1" outlineLevel="3" x14ac:dyDescent="0.25">
      <c r="A307" t="s">
        <v>1</v>
      </c>
      <c r="B307" s="2">
        <v>41425</v>
      </c>
      <c r="C307" s="2">
        <v>41425</v>
      </c>
      <c r="D307" s="2">
        <v>41470</v>
      </c>
      <c r="E307" s="2"/>
      <c r="F307" t="s">
        <v>2</v>
      </c>
      <c r="G307" s="3">
        <v>45</v>
      </c>
      <c r="H307" s="4">
        <v>34926.65</v>
      </c>
      <c r="I307" t="s">
        <v>3</v>
      </c>
      <c r="J307" s="6">
        <v>1400000042</v>
      </c>
      <c r="K307" t="s">
        <v>0</v>
      </c>
      <c r="L307" s="3">
        <v>2615</v>
      </c>
      <c r="M307" s="3">
        <v>2584</v>
      </c>
      <c r="N307" t="s">
        <v>4</v>
      </c>
      <c r="O307" s="6">
        <v>1050</v>
      </c>
      <c r="P307" s="12">
        <f t="shared" si="8"/>
        <v>-562</v>
      </c>
      <c r="Q307" t="str">
        <f t="shared" si="9"/>
        <v>①연체되지 않은 채권</v>
      </c>
    </row>
    <row r="308" spans="1:17" ht="13.95" customHeight="1" outlineLevel="3" x14ac:dyDescent="0.25">
      <c r="A308" t="s">
        <v>1</v>
      </c>
      <c r="B308" s="2">
        <v>41425</v>
      </c>
      <c r="C308" s="2">
        <v>41425</v>
      </c>
      <c r="D308" s="2">
        <v>41470</v>
      </c>
      <c r="E308" s="2"/>
      <c r="F308" t="s">
        <v>2</v>
      </c>
      <c r="G308" s="3">
        <v>45</v>
      </c>
      <c r="H308" s="4">
        <v>19638.55</v>
      </c>
      <c r="I308" t="s">
        <v>3</v>
      </c>
      <c r="J308" s="6">
        <v>1400000041</v>
      </c>
      <c r="K308" t="s">
        <v>0</v>
      </c>
      <c r="L308" s="3">
        <v>2615</v>
      </c>
      <c r="M308" s="3">
        <v>2584</v>
      </c>
      <c r="N308" t="s">
        <v>4</v>
      </c>
      <c r="O308" s="6">
        <v>1050</v>
      </c>
      <c r="P308" s="12">
        <f t="shared" si="8"/>
        <v>-562</v>
      </c>
      <c r="Q308" t="str">
        <f t="shared" si="9"/>
        <v>①연체되지 않은 채권</v>
      </c>
    </row>
    <row r="309" spans="1:17" ht="13.95" customHeight="1" outlineLevel="3" x14ac:dyDescent="0.25">
      <c r="A309" t="s">
        <v>1</v>
      </c>
      <c r="B309" s="2">
        <v>41425</v>
      </c>
      <c r="C309" s="2">
        <v>41425</v>
      </c>
      <c r="D309" s="2">
        <v>41470</v>
      </c>
      <c r="E309" s="2"/>
      <c r="F309" t="s">
        <v>2</v>
      </c>
      <c r="G309" s="3">
        <v>45</v>
      </c>
      <c r="H309" s="4">
        <v>49684.83</v>
      </c>
      <c r="I309" t="s">
        <v>3</v>
      </c>
      <c r="J309" s="6">
        <v>1400000040</v>
      </c>
      <c r="K309" t="s">
        <v>0</v>
      </c>
      <c r="L309" s="3">
        <v>2615</v>
      </c>
      <c r="M309" s="3">
        <v>2584</v>
      </c>
      <c r="N309" t="s">
        <v>4</v>
      </c>
      <c r="O309" s="6">
        <v>1050</v>
      </c>
      <c r="P309" s="12">
        <f t="shared" si="8"/>
        <v>-562</v>
      </c>
      <c r="Q309" t="str">
        <f t="shared" si="9"/>
        <v>①연체되지 않은 채권</v>
      </c>
    </row>
    <row r="310" spans="1:17" ht="13.95" customHeight="1" outlineLevel="3" x14ac:dyDescent="0.25">
      <c r="A310" t="s">
        <v>1</v>
      </c>
      <c r="B310" s="2">
        <v>41425</v>
      </c>
      <c r="C310" s="2">
        <v>41425</v>
      </c>
      <c r="D310" s="2">
        <v>41470</v>
      </c>
      <c r="E310" s="2"/>
      <c r="F310" t="s">
        <v>2</v>
      </c>
      <c r="G310" s="3">
        <v>45</v>
      </c>
      <c r="H310" s="4">
        <v>31433.99</v>
      </c>
      <c r="I310" t="s">
        <v>3</v>
      </c>
      <c r="J310" s="6">
        <v>1400000039</v>
      </c>
      <c r="K310" t="s">
        <v>0</v>
      </c>
      <c r="L310" s="3">
        <v>2615</v>
      </c>
      <c r="M310" s="3">
        <v>2584</v>
      </c>
      <c r="N310" t="s">
        <v>4</v>
      </c>
      <c r="O310" s="6">
        <v>1050</v>
      </c>
      <c r="P310" s="12">
        <f t="shared" si="8"/>
        <v>-562</v>
      </c>
      <c r="Q310" t="str">
        <f t="shared" si="9"/>
        <v>①연체되지 않은 채권</v>
      </c>
    </row>
    <row r="311" spans="1:17" ht="13.95" customHeight="1" outlineLevel="3" x14ac:dyDescent="0.25">
      <c r="A311" t="s">
        <v>1</v>
      </c>
      <c r="B311" s="2">
        <v>41157</v>
      </c>
      <c r="C311" s="2">
        <v>41157</v>
      </c>
      <c r="D311" s="2">
        <v>41202</v>
      </c>
      <c r="E311" s="2"/>
      <c r="F311" t="s">
        <v>2</v>
      </c>
      <c r="G311" s="3">
        <v>45</v>
      </c>
      <c r="H311" s="4">
        <v>45862.92</v>
      </c>
      <c r="I311" t="s">
        <v>3</v>
      </c>
      <c r="J311" s="6">
        <v>1400000091</v>
      </c>
      <c r="K311" t="s">
        <v>0</v>
      </c>
      <c r="L311" s="3">
        <v>2883</v>
      </c>
      <c r="M311" s="3">
        <v>2852</v>
      </c>
      <c r="N311" t="s">
        <v>4</v>
      </c>
      <c r="O311" s="6">
        <v>1050</v>
      </c>
      <c r="P311" s="12">
        <f t="shared" si="8"/>
        <v>-294</v>
      </c>
      <c r="Q311" t="str">
        <f t="shared" si="9"/>
        <v>①연체되지 않은 채권</v>
      </c>
    </row>
    <row r="312" spans="1:17" ht="13.95" customHeight="1" outlineLevel="3" x14ac:dyDescent="0.25">
      <c r="A312" t="s">
        <v>1</v>
      </c>
      <c r="B312" s="2">
        <v>41157</v>
      </c>
      <c r="C312" s="2">
        <v>41157</v>
      </c>
      <c r="D312" s="2">
        <v>41202</v>
      </c>
      <c r="E312" s="2"/>
      <c r="F312" t="s">
        <v>2</v>
      </c>
      <c r="G312" s="3">
        <v>45</v>
      </c>
      <c r="H312" s="4">
        <v>17463.330000000002</v>
      </c>
      <c r="I312" t="s">
        <v>3</v>
      </c>
      <c r="J312" s="6">
        <v>1400000090</v>
      </c>
      <c r="K312" t="s">
        <v>0</v>
      </c>
      <c r="L312" s="3">
        <v>2883</v>
      </c>
      <c r="M312" s="3">
        <v>2852</v>
      </c>
      <c r="N312" t="s">
        <v>4</v>
      </c>
      <c r="O312" s="6">
        <v>1050</v>
      </c>
      <c r="P312" s="12">
        <f t="shared" si="8"/>
        <v>-294</v>
      </c>
      <c r="Q312" t="str">
        <f t="shared" si="9"/>
        <v>①연체되지 않은 채권</v>
      </c>
    </row>
    <row r="313" spans="1:17" ht="13.95" customHeight="1" outlineLevel="3" x14ac:dyDescent="0.25">
      <c r="A313" t="s">
        <v>1</v>
      </c>
      <c r="B313" s="2">
        <v>41149</v>
      </c>
      <c r="C313" s="2">
        <v>41149</v>
      </c>
      <c r="D313" s="2">
        <v>41194</v>
      </c>
      <c r="E313" s="2"/>
      <c r="F313" t="s">
        <v>2</v>
      </c>
      <c r="G313" s="3">
        <v>45</v>
      </c>
      <c r="H313" s="4">
        <v>35349.39</v>
      </c>
      <c r="I313" t="s">
        <v>3</v>
      </c>
      <c r="J313" s="6">
        <v>1400000086</v>
      </c>
      <c r="K313" t="s">
        <v>0</v>
      </c>
      <c r="L313" s="3">
        <v>2891</v>
      </c>
      <c r="M313" s="3">
        <v>2860</v>
      </c>
      <c r="N313" t="s">
        <v>4</v>
      </c>
      <c r="O313" s="6">
        <v>1050</v>
      </c>
      <c r="P313" s="12">
        <f t="shared" si="8"/>
        <v>-286</v>
      </c>
      <c r="Q313" t="str">
        <f t="shared" si="9"/>
        <v>①연체되지 않은 채권</v>
      </c>
    </row>
    <row r="314" spans="1:17" ht="13.95" customHeight="1" outlineLevel="3" x14ac:dyDescent="0.25">
      <c r="A314" t="s">
        <v>1</v>
      </c>
      <c r="B314" s="2">
        <v>41149</v>
      </c>
      <c r="C314" s="2">
        <v>41149</v>
      </c>
      <c r="D314" s="2">
        <v>41194</v>
      </c>
      <c r="E314" s="2"/>
      <c r="F314" t="s">
        <v>2</v>
      </c>
      <c r="G314" s="3">
        <v>45</v>
      </c>
      <c r="H314" s="4">
        <v>61150.559999999998</v>
      </c>
      <c r="I314" t="s">
        <v>3</v>
      </c>
      <c r="J314" s="6">
        <v>1400000085</v>
      </c>
      <c r="K314" t="s">
        <v>0</v>
      </c>
      <c r="L314" s="3">
        <v>2891</v>
      </c>
      <c r="M314" s="3">
        <v>2860</v>
      </c>
      <c r="N314" t="s">
        <v>4</v>
      </c>
      <c r="O314" s="6">
        <v>1050</v>
      </c>
      <c r="P314" s="12">
        <f t="shared" si="8"/>
        <v>-286</v>
      </c>
      <c r="Q314" t="str">
        <f t="shared" si="9"/>
        <v>①연체되지 않은 채권</v>
      </c>
    </row>
    <row r="315" spans="1:17" ht="13.95" customHeight="1" outlineLevel="3" x14ac:dyDescent="0.25">
      <c r="A315" t="s">
        <v>1</v>
      </c>
      <c r="B315" s="2">
        <v>41149</v>
      </c>
      <c r="C315" s="2">
        <v>41149</v>
      </c>
      <c r="D315" s="2">
        <v>41194</v>
      </c>
      <c r="E315" s="2"/>
      <c r="F315" t="s">
        <v>2</v>
      </c>
      <c r="G315" s="3">
        <v>45</v>
      </c>
      <c r="H315" s="4">
        <v>20955.990000000002</v>
      </c>
      <c r="I315" t="s">
        <v>3</v>
      </c>
      <c r="J315" s="6">
        <v>1400000084</v>
      </c>
      <c r="K315" t="s">
        <v>0</v>
      </c>
      <c r="L315" s="3">
        <v>2891</v>
      </c>
      <c r="M315" s="3">
        <v>2860</v>
      </c>
      <c r="N315" t="s">
        <v>4</v>
      </c>
      <c r="O315" s="6">
        <v>1050</v>
      </c>
      <c r="P315" s="12">
        <f t="shared" si="8"/>
        <v>-286</v>
      </c>
      <c r="Q315" t="str">
        <f t="shared" si="9"/>
        <v>①연체되지 않은 채권</v>
      </c>
    </row>
    <row r="316" spans="1:17" ht="13.95" customHeight="1" outlineLevel="3" x14ac:dyDescent="0.25">
      <c r="A316" t="s">
        <v>1</v>
      </c>
      <c r="B316" s="2">
        <v>41149</v>
      </c>
      <c r="C316" s="2">
        <v>41149</v>
      </c>
      <c r="D316" s="2">
        <v>41194</v>
      </c>
      <c r="E316" s="2"/>
      <c r="F316" t="s">
        <v>2</v>
      </c>
      <c r="G316" s="3">
        <v>45</v>
      </c>
      <c r="H316" s="4">
        <v>39277.1</v>
      </c>
      <c r="I316" t="s">
        <v>3</v>
      </c>
      <c r="J316" s="6">
        <v>1400000083</v>
      </c>
      <c r="K316" t="s">
        <v>0</v>
      </c>
      <c r="L316" s="3">
        <v>2891</v>
      </c>
      <c r="M316" s="3">
        <v>2860</v>
      </c>
      <c r="N316" t="s">
        <v>4</v>
      </c>
      <c r="O316" s="6">
        <v>1050</v>
      </c>
      <c r="P316" s="12">
        <f t="shared" si="8"/>
        <v>-286</v>
      </c>
      <c r="Q316" t="str">
        <f t="shared" si="9"/>
        <v>①연체되지 않은 채권</v>
      </c>
    </row>
    <row r="317" spans="1:17" ht="13.95" customHeight="1" outlineLevel="3" x14ac:dyDescent="0.25">
      <c r="A317" t="s">
        <v>1</v>
      </c>
      <c r="B317" s="2">
        <v>41149</v>
      </c>
      <c r="C317" s="2">
        <v>41149</v>
      </c>
      <c r="D317" s="2">
        <v>41194</v>
      </c>
      <c r="E317" s="2"/>
      <c r="F317" t="s">
        <v>2</v>
      </c>
      <c r="G317" s="3">
        <v>45</v>
      </c>
      <c r="H317" s="4">
        <v>49684.83</v>
      </c>
      <c r="I317" t="s">
        <v>3</v>
      </c>
      <c r="J317" s="6">
        <v>1400000082</v>
      </c>
      <c r="K317" t="s">
        <v>0</v>
      </c>
      <c r="L317" s="3">
        <v>2891</v>
      </c>
      <c r="M317" s="3">
        <v>2860</v>
      </c>
      <c r="N317" t="s">
        <v>4</v>
      </c>
      <c r="O317" s="6">
        <v>1050</v>
      </c>
      <c r="P317" s="12">
        <f t="shared" si="8"/>
        <v>-286</v>
      </c>
      <c r="Q317" t="str">
        <f t="shared" si="9"/>
        <v>①연체되지 않은 채권</v>
      </c>
    </row>
    <row r="318" spans="1:17" ht="13.95" customHeight="1" outlineLevel="3" x14ac:dyDescent="0.25">
      <c r="A318" t="s">
        <v>1</v>
      </c>
      <c r="B318" s="2">
        <v>41149</v>
      </c>
      <c r="C318" s="2">
        <v>41149</v>
      </c>
      <c r="D318" s="2">
        <v>41194</v>
      </c>
      <c r="E318" s="2"/>
      <c r="F318" t="s">
        <v>2</v>
      </c>
      <c r="G318" s="3">
        <v>45</v>
      </c>
      <c r="H318" s="4">
        <v>13970.66</v>
      </c>
      <c r="I318" t="s">
        <v>3</v>
      </c>
      <c r="J318" s="6">
        <v>1400000081</v>
      </c>
      <c r="K318" t="s">
        <v>0</v>
      </c>
      <c r="L318" s="3">
        <v>2891</v>
      </c>
      <c r="M318" s="3">
        <v>2860</v>
      </c>
      <c r="N318" t="s">
        <v>4</v>
      </c>
      <c r="O318" s="6">
        <v>1050</v>
      </c>
      <c r="P318" s="12">
        <f t="shared" si="8"/>
        <v>-286</v>
      </c>
      <c r="Q318" t="str">
        <f t="shared" si="9"/>
        <v>①연체되지 않은 채권</v>
      </c>
    </row>
    <row r="319" spans="1:17" ht="13.95" customHeight="1" outlineLevel="3" x14ac:dyDescent="0.25">
      <c r="A319" t="s">
        <v>1</v>
      </c>
      <c r="B319" s="2">
        <v>41095</v>
      </c>
      <c r="C319" s="2">
        <v>41095</v>
      </c>
      <c r="D319" s="2">
        <v>41140</v>
      </c>
      <c r="E319" s="2"/>
      <c r="F319" t="s">
        <v>2</v>
      </c>
      <c r="G319" s="3">
        <v>45</v>
      </c>
      <c r="H319" s="4">
        <v>23566.26</v>
      </c>
      <c r="I319" t="s">
        <v>3</v>
      </c>
      <c r="J319" s="6">
        <v>1400000062</v>
      </c>
      <c r="K319" t="s">
        <v>0</v>
      </c>
      <c r="L319" s="3">
        <v>2945</v>
      </c>
      <c r="M319" s="3">
        <v>2914</v>
      </c>
      <c r="N319" t="s">
        <v>4</v>
      </c>
      <c r="O319" s="6">
        <v>1050</v>
      </c>
      <c r="P319" s="12">
        <f t="shared" si="8"/>
        <v>-232</v>
      </c>
      <c r="Q319" t="str">
        <f t="shared" si="9"/>
        <v>①연체되지 않은 채권</v>
      </c>
    </row>
    <row r="320" spans="1:17" ht="13.95" customHeight="1" outlineLevel="3" x14ac:dyDescent="0.25">
      <c r="A320" t="s">
        <v>1</v>
      </c>
      <c r="B320" s="2">
        <v>41095</v>
      </c>
      <c r="C320" s="2">
        <v>41095</v>
      </c>
      <c r="D320" s="2">
        <v>41140</v>
      </c>
      <c r="E320" s="2"/>
      <c r="F320" t="s">
        <v>2</v>
      </c>
      <c r="G320" s="3">
        <v>45</v>
      </c>
      <c r="H320" s="4">
        <v>64972.47</v>
      </c>
      <c r="I320" t="s">
        <v>3</v>
      </c>
      <c r="J320" s="6">
        <v>1400000061</v>
      </c>
      <c r="K320" t="s">
        <v>0</v>
      </c>
      <c r="L320" s="3">
        <v>2945</v>
      </c>
      <c r="M320" s="3">
        <v>2914</v>
      </c>
      <c r="N320" t="s">
        <v>4</v>
      </c>
      <c r="O320" s="6">
        <v>1050</v>
      </c>
      <c r="P320" s="12">
        <f t="shared" si="8"/>
        <v>-232</v>
      </c>
      <c r="Q320" t="str">
        <f t="shared" si="9"/>
        <v>①연체되지 않은 채권</v>
      </c>
    </row>
    <row r="321" spans="1:17" ht="13.95" customHeight="1" outlineLevel="3" x14ac:dyDescent="0.25">
      <c r="A321" t="s">
        <v>1</v>
      </c>
      <c r="B321" s="2">
        <v>41095</v>
      </c>
      <c r="C321" s="2">
        <v>41095</v>
      </c>
      <c r="D321" s="2">
        <v>41140</v>
      </c>
      <c r="E321" s="2"/>
      <c r="F321" t="s">
        <v>2</v>
      </c>
      <c r="G321" s="3">
        <v>45</v>
      </c>
      <c r="H321" s="4">
        <v>20955.990000000002</v>
      </c>
      <c r="I321" t="s">
        <v>3</v>
      </c>
      <c r="J321" s="6">
        <v>1400000060</v>
      </c>
      <c r="K321" t="s">
        <v>0</v>
      </c>
      <c r="L321" s="3">
        <v>2945</v>
      </c>
      <c r="M321" s="3">
        <v>2914</v>
      </c>
      <c r="N321" t="s">
        <v>4</v>
      </c>
      <c r="O321" s="6">
        <v>1050</v>
      </c>
      <c r="P321" s="12">
        <f t="shared" si="8"/>
        <v>-232</v>
      </c>
      <c r="Q321" t="str">
        <f t="shared" si="9"/>
        <v>①연체되지 않은 채권</v>
      </c>
    </row>
    <row r="322" spans="1:17" ht="13.95" customHeight="1" outlineLevel="3" x14ac:dyDescent="0.25">
      <c r="A322" t="s">
        <v>1</v>
      </c>
      <c r="B322" s="2">
        <v>41095</v>
      </c>
      <c r="C322" s="2">
        <v>41095</v>
      </c>
      <c r="D322" s="2">
        <v>41140</v>
      </c>
      <c r="E322" s="2"/>
      <c r="F322" t="s">
        <v>2</v>
      </c>
      <c r="G322" s="3">
        <v>45</v>
      </c>
      <c r="H322" s="4">
        <v>27493.97</v>
      </c>
      <c r="I322" t="s">
        <v>3</v>
      </c>
      <c r="J322" s="6">
        <v>1400000059</v>
      </c>
      <c r="K322" t="s">
        <v>0</v>
      </c>
      <c r="L322" s="3">
        <v>2945</v>
      </c>
      <c r="M322" s="3">
        <v>2914</v>
      </c>
      <c r="N322" t="s">
        <v>4</v>
      </c>
      <c r="O322" s="6">
        <v>1050</v>
      </c>
      <c r="P322" s="12">
        <f t="shared" si="8"/>
        <v>-232</v>
      </c>
      <c r="Q322" t="str">
        <f t="shared" si="9"/>
        <v>①연체되지 않은 채권</v>
      </c>
    </row>
    <row r="323" spans="1:17" ht="13.95" customHeight="1" outlineLevel="3" x14ac:dyDescent="0.25">
      <c r="A323" t="s">
        <v>1</v>
      </c>
      <c r="B323" s="2">
        <v>41095</v>
      </c>
      <c r="C323" s="2">
        <v>41095</v>
      </c>
      <c r="D323" s="2">
        <v>41140</v>
      </c>
      <c r="E323" s="2"/>
      <c r="F323" t="s">
        <v>2</v>
      </c>
      <c r="G323" s="3">
        <v>45</v>
      </c>
      <c r="H323" s="4">
        <v>61150.559999999998</v>
      </c>
      <c r="I323" t="s">
        <v>3</v>
      </c>
      <c r="J323" s="6">
        <v>1400000058</v>
      </c>
      <c r="K323" t="s">
        <v>0</v>
      </c>
      <c r="L323" s="3">
        <v>2945</v>
      </c>
      <c r="M323" s="3">
        <v>2914</v>
      </c>
      <c r="N323" t="s">
        <v>4</v>
      </c>
      <c r="O323" s="6">
        <v>1050</v>
      </c>
      <c r="P323" s="12">
        <f t="shared" ref="P323:P386" si="10">$T$1-D323</f>
        <v>-232</v>
      </c>
      <c r="Q323" t="str">
        <f t="shared" ref="Q323:Q386" si="11">IF(P323&lt;=0,"①연체되지 않은 채권",IF(P323&lt;=92,"②만기경과 후 3개월 이하",IF(P323&lt;=184,"③만기경과 후 4~6개월",IF(P323&lt;=365,"④만기경과 후 7~12개월","⑤만기경과 후 12개월 초과"))))</f>
        <v>①연체되지 않은 채권</v>
      </c>
    </row>
    <row r="324" spans="1:17" ht="13.95" customHeight="1" outlineLevel="3" x14ac:dyDescent="0.25">
      <c r="A324" t="s">
        <v>1</v>
      </c>
      <c r="B324" s="2">
        <v>41095</v>
      </c>
      <c r="C324" s="2">
        <v>41095</v>
      </c>
      <c r="D324" s="2">
        <v>41140</v>
      </c>
      <c r="E324" s="2"/>
      <c r="F324" t="s">
        <v>2</v>
      </c>
      <c r="G324" s="3">
        <v>45</v>
      </c>
      <c r="H324" s="4">
        <v>20955.990000000002</v>
      </c>
      <c r="I324" t="s">
        <v>3</v>
      </c>
      <c r="J324" s="6">
        <v>1400000057</v>
      </c>
      <c r="K324" t="s">
        <v>0</v>
      </c>
      <c r="L324" s="3">
        <v>2945</v>
      </c>
      <c r="M324" s="3">
        <v>2914</v>
      </c>
      <c r="N324" t="s">
        <v>4</v>
      </c>
      <c r="O324" s="6">
        <v>1050</v>
      </c>
      <c r="P324" s="12">
        <f t="shared" si="10"/>
        <v>-232</v>
      </c>
      <c r="Q324" t="str">
        <f t="shared" si="11"/>
        <v>①연체되지 않은 채권</v>
      </c>
    </row>
    <row r="325" spans="1:17" ht="13.95" customHeight="1" outlineLevel="3" x14ac:dyDescent="0.25">
      <c r="A325" t="s">
        <v>1</v>
      </c>
      <c r="B325" s="2">
        <v>41090</v>
      </c>
      <c r="C325" s="2">
        <v>41090</v>
      </c>
      <c r="D325" s="2">
        <v>41135</v>
      </c>
      <c r="E325" s="2"/>
      <c r="F325" t="s">
        <v>2</v>
      </c>
      <c r="G325" s="3">
        <v>45</v>
      </c>
      <c r="H325" s="4">
        <v>15710.84</v>
      </c>
      <c r="I325" t="s">
        <v>3</v>
      </c>
      <c r="J325" s="6">
        <v>1400000053</v>
      </c>
      <c r="K325" t="s">
        <v>0</v>
      </c>
      <c r="L325" s="3">
        <v>2950</v>
      </c>
      <c r="M325" s="3">
        <v>2919</v>
      </c>
      <c r="N325" t="s">
        <v>4</v>
      </c>
      <c r="O325" s="6">
        <v>1050</v>
      </c>
      <c r="P325" s="12">
        <f t="shared" si="10"/>
        <v>-227</v>
      </c>
      <c r="Q325" t="str">
        <f t="shared" si="11"/>
        <v>①연체되지 않은 채권</v>
      </c>
    </row>
    <row r="326" spans="1:17" ht="13.95" customHeight="1" outlineLevel="3" x14ac:dyDescent="0.25">
      <c r="A326" t="s">
        <v>1</v>
      </c>
      <c r="B326" s="2">
        <v>41090</v>
      </c>
      <c r="C326" s="2">
        <v>41090</v>
      </c>
      <c r="D326" s="2">
        <v>41135</v>
      </c>
      <c r="E326" s="2"/>
      <c r="F326" t="s">
        <v>2</v>
      </c>
      <c r="G326" s="3">
        <v>45</v>
      </c>
      <c r="H326" s="4">
        <v>57328.65</v>
      </c>
      <c r="I326" t="s">
        <v>3</v>
      </c>
      <c r="J326" s="6">
        <v>1400000052</v>
      </c>
      <c r="K326" t="s">
        <v>0</v>
      </c>
      <c r="L326" s="3">
        <v>2950</v>
      </c>
      <c r="M326" s="3">
        <v>2919</v>
      </c>
      <c r="N326" t="s">
        <v>4</v>
      </c>
      <c r="O326" s="6">
        <v>1050</v>
      </c>
      <c r="P326" s="12">
        <f t="shared" si="10"/>
        <v>-227</v>
      </c>
      <c r="Q326" t="str">
        <f t="shared" si="11"/>
        <v>①연체되지 않은 채권</v>
      </c>
    </row>
    <row r="327" spans="1:17" ht="13.95" customHeight="1" outlineLevel="3" x14ac:dyDescent="0.25">
      <c r="A327" t="s">
        <v>1</v>
      </c>
      <c r="B327" s="2">
        <v>41090</v>
      </c>
      <c r="C327" s="2">
        <v>41090</v>
      </c>
      <c r="D327" s="2">
        <v>41135</v>
      </c>
      <c r="E327" s="2"/>
      <c r="F327" t="s">
        <v>2</v>
      </c>
      <c r="G327" s="3">
        <v>45</v>
      </c>
      <c r="H327" s="4">
        <v>27941.32</v>
      </c>
      <c r="I327" t="s">
        <v>3</v>
      </c>
      <c r="J327" s="6">
        <v>1400000051</v>
      </c>
      <c r="K327" t="s">
        <v>0</v>
      </c>
      <c r="L327" s="3">
        <v>2950</v>
      </c>
      <c r="M327" s="3">
        <v>2919</v>
      </c>
      <c r="N327" t="s">
        <v>4</v>
      </c>
      <c r="O327" s="6">
        <v>1050</v>
      </c>
      <c r="P327" s="12">
        <f t="shared" si="10"/>
        <v>-227</v>
      </c>
      <c r="Q327" t="str">
        <f t="shared" si="11"/>
        <v>①연체되지 않은 채권</v>
      </c>
    </row>
    <row r="328" spans="1:17" ht="13.95" customHeight="1" outlineLevel="3" x14ac:dyDescent="0.25">
      <c r="A328" t="s">
        <v>1</v>
      </c>
      <c r="B328" s="2">
        <v>41090</v>
      </c>
      <c r="C328" s="2">
        <v>41090</v>
      </c>
      <c r="D328" s="2">
        <v>41135</v>
      </c>
      <c r="E328" s="2"/>
      <c r="F328" t="s">
        <v>2</v>
      </c>
      <c r="G328" s="3">
        <v>45</v>
      </c>
      <c r="H328" s="4">
        <v>23566.26</v>
      </c>
      <c r="I328" t="s">
        <v>3</v>
      </c>
      <c r="J328" s="6">
        <v>1400000050</v>
      </c>
      <c r="K328" t="s">
        <v>0</v>
      </c>
      <c r="L328" s="3">
        <v>2950</v>
      </c>
      <c r="M328" s="3">
        <v>2919</v>
      </c>
      <c r="N328" t="s">
        <v>4</v>
      </c>
      <c r="O328" s="6">
        <v>1050</v>
      </c>
      <c r="P328" s="12">
        <f t="shared" si="10"/>
        <v>-227</v>
      </c>
      <c r="Q328" t="str">
        <f t="shared" si="11"/>
        <v>①연체되지 않은 채권</v>
      </c>
    </row>
    <row r="329" spans="1:17" ht="13.95" customHeight="1" outlineLevel="3" x14ac:dyDescent="0.25">
      <c r="A329" t="s">
        <v>1</v>
      </c>
      <c r="B329" s="2">
        <v>41090</v>
      </c>
      <c r="C329" s="2">
        <v>41090</v>
      </c>
      <c r="D329" s="2">
        <v>41135</v>
      </c>
      <c r="E329" s="2"/>
      <c r="F329" t="s">
        <v>2</v>
      </c>
      <c r="G329" s="3">
        <v>45</v>
      </c>
      <c r="H329" s="4">
        <v>53506.74</v>
      </c>
      <c r="I329" t="s">
        <v>3</v>
      </c>
      <c r="J329" s="6">
        <v>1400000049</v>
      </c>
      <c r="K329" t="s">
        <v>0</v>
      </c>
      <c r="L329" s="3">
        <v>2950</v>
      </c>
      <c r="M329" s="3">
        <v>2919</v>
      </c>
      <c r="N329" t="s">
        <v>4</v>
      </c>
      <c r="O329" s="6">
        <v>1050</v>
      </c>
      <c r="P329" s="12">
        <f t="shared" si="10"/>
        <v>-227</v>
      </c>
      <c r="Q329" t="str">
        <f t="shared" si="11"/>
        <v>①연체되지 않은 채권</v>
      </c>
    </row>
    <row r="330" spans="1:17" ht="13.95" customHeight="1" outlineLevel="3" x14ac:dyDescent="0.25">
      <c r="A330" t="s">
        <v>1</v>
      </c>
      <c r="B330" s="2">
        <v>41090</v>
      </c>
      <c r="C330" s="2">
        <v>41090</v>
      </c>
      <c r="D330" s="2">
        <v>41135</v>
      </c>
      <c r="E330" s="2"/>
      <c r="F330" t="s">
        <v>2</v>
      </c>
      <c r="G330" s="3">
        <v>45</v>
      </c>
      <c r="H330" s="4">
        <v>27941.32</v>
      </c>
      <c r="I330" t="s">
        <v>3</v>
      </c>
      <c r="J330" s="6">
        <v>1400000048</v>
      </c>
      <c r="K330" t="s">
        <v>0</v>
      </c>
      <c r="L330" s="3">
        <v>2950</v>
      </c>
      <c r="M330" s="3">
        <v>2919</v>
      </c>
      <c r="N330" t="s">
        <v>4</v>
      </c>
      <c r="O330" s="6">
        <v>1050</v>
      </c>
      <c r="P330" s="12">
        <f t="shared" si="10"/>
        <v>-227</v>
      </c>
      <c r="Q330" t="str">
        <f t="shared" si="11"/>
        <v>①연체되지 않은 채권</v>
      </c>
    </row>
    <row r="331" spans="1:17" ht="13.95" customHeight="1" outlineLevel="3" x14ac:dyDescent="0.25">
      <c r="A331" t="s">
        <v>1</v>
      </c>
      <c r="B331" s="2">
        <v>41060</v>
      </c>
      <c r="C331" s="2">
        <v>41060</v>
      </c>
      <c r="D331" s="2">
        <v>41105</v>
      </c>
      <c r="E331" s="2"/>
      <c r="F331" t="s">
        <v>2</v>
      </c>
      <c r="G331" s="3">
        <v>45</v>
      </c>
      <c r="H331" s="4">
        <v>15710.84</v>
      </c>
      <c r="I331" t="s">
        <v>3</v>
      </c>
      <c r="J331" s="6">
        <v>1400000044</v>
      </c>
      <c r="K331" t="s">
        <v>0</v>
      </c>
      <c r="L331" s="3">
        <v>2980</v>
      </c>
      <c r="M331" s="3">
        <v>2949</v>
      </c>
      <c r="N331" t="s">
        <v>4</v>
      </c>
      <c r="O331" s="6">
        <v>1050</v>
      </c>
      <c r="P331" s="12">
        <f t="shared" si="10"/>
        <v>-197</v>
      </c>
      <c r="Q331" t="str">
        <f t="shared" si="11"/>
        <v>①연체되지 않은 채권</v>
      </c>
    </row>
    <row r="332" spans="1:17" ht="13.95" customHeight="1" outlineLevel="3" x14ac:dyDescent="0.25">
      <c r="A332" t="s">
        <v>1</v>
      </c>
      <c r="B332" s="2">
        <v>41060</v>
      </c>
      <c r="C332" s="2">
        <v>41060</v>
      </c>
      <c r="D332" s="2">
        <v>41105</v>
      </c>
      <c r="E332" s="2"/>
      <c r="F332" t="s">
        <v>2</v>
      </c>
      <c r="G332" s="3">
        <v>45</v>
      </c>
      <c r="H332" s="4">
        <v>45862.92</v>
      </c>
      <c r="I332" t="s">
        <v>3</v>
      </c>
      <c r="J332" s="6">
        <v>1400000043</v>
      </c>
      <c r="K332" t="s">
        <v>0</v>
      </c>
      <c r="L332" s="3">
        <v>2980</v>
      </c>
      <c r="M332" s="3">
        <v>2949</v>
      </c>
      <c r="N332" t="s">
        <v>4</v>
      </c>
      <c r="O332" s="6">
        <v>1050</v>
      </c>
      <c r="P332" s="12">
        <f t="shared" si="10"/>
        <v>-197</v>
      </c>
      <c r="Q332" t="str">
        <f t="shared" si="11"/>
        <v>①연체되지 않은 채권</v>
      </c>
    </row>
    <row r="333" spans="1:17" ht="13.95" customHeight="1" outlineLevel="3" x14ac:dyDescent="0.25">
      <c r="A333" t="s">
        <v>1</v>
      </c>
      <c r="B333" s="2">
        <v>41157</v>
      </c>
      <c r="C333" s="2">
        <v>41157</v>
      </c>
      <c r="D333" s="2">
        <v>41202</v>
      </c>
      <c r="E333" s="2"/>
      <c r="F333" t="s">
        <v>2</v>
      </c>
      <c r="G333" s="3">
        <v>45</v>
      </c>
      <c r="H333" s="4">
        <v>43204.81</v>
      </c>
      <c r="I333" t="s">
        <v>3</v>
      </c>
      <c r="J333" s="6">
        <v>1400000092</v>
      </c>
      <c r="K333" t="s">
        <v>0</v>
      </c>
      <c r="L333" s="3">
        <v>2883</v>
      </c>
      <c r="M333" s="3">
        <v>2852</v>
      </c>
      <c r="N333" t="s">
        <v>4</v>
      </c>
      <c r="O333" s="6">
        <v>1050</v>
      </c>
      <c r="P333" s="12">
        <f t="shared" si="10"/>
        <v>-294</v>
      </c>
      <c r="Q333" t="str">
        <f t="shared" si="11"/>
        <v>①연체되지 않은 채권</v>
      </c>
    </row>
    <row r="334" spans="1:17" ht="13.95" customHeight="1" outlineLevel="3" x14ac:dyDescent="0.25">
      <c r="A334" t="s">
        <v>1</v>
      </c>
      <c r="B334" s="2">
        <v>41305</v>
      </c>
      <c r="C334" s="2">
        <v>41305</v>
      </c>
      <c r="D334" s="2">
        <v>41350</v>
      </c>
      <c r="E334" s="2"/>
      <c r="F334" t="s">
        <v>2</v>
      </c>
      <c r="G334" s="3">
        <v>45</v>
      </c>
      <c r="H334" s="4">
        <v>34926.65</v>
      </c>
      <c r="I334" t="s">
        <v>3</v>
      </c>
      <c r="J334" s="6">
        <v>1400000003</v>
      </c>
      <c r="K334" t="s">
        <v>0</v>
      </c>
      <c r="L334" s="3">
        <v>2735</v>
      </c>
      <c r="M334" s="3">
        <v>2704</v>
      </c>
      <c r="N334" t="s">
        <v>4</v>
      </c>
      <c r="O334" s="6">
        <v>1050</v>
      </c>
      <c r="P334" s="12">
        <f t="shared" si="10"/>
        <v>-442</v>
      </c>
      <c r="Q334" t="str">
        <f t="shared" si="11"/>
        <v>①연체되지 않은 채권</v>
      </c>
    </row>
    <row r="335" spans="1:17" ht="13.95" customHeight="1" outlineLevel="3" x14ac:dyDescent="0.25">
      <c r="A335" t="s">
        <v>1</v>
      </c>
      <c r="B335" s="2">
        <v>41274</v>
      </c>
      <c r="C335" s="2">
        <v>41274</v>
      </c>
      <c r="D335" s="2">
        <v>41319</v>
      </c>
      <c r="E335" s="2"/>
      <c r="F335" t="s">
        <v>2</v>
      </c>
      <c r="G335" s="3">
        <v>45</v>
      </c>
      <c r="H335" s="4">
        <v>43204.81</v>
      </c>
      <c r="I335" t="s">
        <v>3</v>
      </c>
      <c r="J335" s="6">
        <v>1400000122</v>
      </c>
      <c r="K335" t="s">
        <v>0</v>
      </c>
      <c r="L335" s="3">
        <v>2766</v>
      </c>
      <c r="M335" s="3">
        <v>2735</v>
      </c>
      <c r="N335" t="s">
        <v>4</v>
      </c>
      <c r="O335" s="6">
        <v>1050</v>
      </c>
      <c r="P335" s="12">
        <f t="shared" si="10"/>
        <v>-411</v>
      </c>
      <c r="Q335" t="str">
        <f t="shared" si="11"/>
        <v>①연체되지 않은 채권</v>
      </c>
    </row>
    <row r="336" spans="1:17" ht="13.95" customHeight="1" outlineLevel="3" x14ac:dyDescent="0.25">
      <c r="A336" t="s">
        <v>1</v>
      </c>
      <c r="B336" s="2">
        <v>41274</v>
      </c>
      <c r="C336" s="2">
        <v>41274</v>
      </c>
      <c r="D336" s="2">
        <v>41319</v>
      </c>
      <c r="E336" s="2"/>
      <c r="F336" t="s">
        <v>2</v>
      </c>
      <c r="G336" s="3">
        <v>45</v>
      </c>
      <c r="H336" s="4">
        <v>22931.46</v>
      </c>
      <c r="I336" t="s">
        <v>3</v>
      </c>
      <c r="J336" s="6">
        <v>1400000121</v>
      </c>
      <c r="K336" t="s">
        <v>0</v>
      </c>
      <c r="L336" s="3">
        <v>2766</v>
      </c>
      <c r="M336" s="3">
        <v>2735</v>
      </c>
      <c r="N336" t="s">
        <v>4</v>
      </c>
      <c r="O336" s="6">
        <v>1050</v>
      </c>
      <c r="P336" s="12">
        <f t="shared" si="10"/>
        <v>-411</v>
      </c>
      <c r="Q336" t="str">
        <f t="shared" si="11"/>
        <v>①연체되지 않은 채권</v>
      </c>
    </row>
    <row r="337" spans="1:17" ht="13.95" customHeight="1" outlineLevel="3" x14ac:dyDescent="0.25">
      <c r="A337" t="s">
        <v>1</v>
      </c>
      <c r="B337" s="2">
        <v>41274</v>
      </c>
      <c r="C337" s="2">
        <v>41274</v>
      </c>
      <c r="D337" s="2">
        <v>41319</v>
      </c>
      <c r="E337" s="2"/>
      <c r="F337" t="s">
        <v>2</v>
      </c>
      <c r="G337" s="3">
        <v>45</v>
      </c>
      <c r="H337" s="4">
        <v>34926.65</v>
      </c>
      <c r="I337" t="s">
        <v>3</v>
      </c>
      <c r="J337" s="6">
        <v>1400000120</v>
      </c>
      <c r="K337" t="s">
        <v>0</v>
      </c>
      <c r="L337" s="3">
        <v>2766</v>
      </c>
      <c r="M337" s="3">
        <v>2735</v>
      </c>
      <c r="N337" t="s">
        <v>4</v>
      </c>
      <c r="O337" s="6">
        <v>1050</v>
      </c>
      <c r="P337" s="12">
        <f t="shared" si="10"/>
        <v>-411</v>
      </c>
      <c r="Q337" t="str">
        <f t="shared" si="11"/>
        <v>①연체되지 않은 채권</v>
      </c>
    </row>
    <row r="338" spans="1:17" ht="13.95" customHeight="1" outlineLevel="3" x14ac:dyDescent="0.25">
      <c r="A338" t="s">
        <v>1</v>
      </c>
      <c r="B338" s="2">
        <v>41274</v>
      </c>
      <c r="C338" s="2">
        <v>41274</v>
      </c>
      <c r="D338" s="2">
        <v>41319</v>
      </c>
      <c r="E338" s="2"/>
      <c r="F338" t="s">
        <v>2</v>
      </c>
      <c r="G338" s="3">
        <v>45</v>
      </c>
      <c r="H338" s="4">
        <v>47132.52</v>
      </c>
      <c r="I338" t="s">
        <v>3</v>
      </c>
      <c r="J338" s="6">
        <v>1400000119</v>
      </c>
      <c r="K338" t="s">
        <v>0</v>
      </c>
      <c r="L338" s="3">
        <v>2766</v>
      </c>
      <c r="M338" s="3">
        <v>2735</v>
      </c>
      <c r="N338" t="s">
        <v>4</v>
      </c>
      <c r="O338" s="6">
        <v>1050</v>
      </c>
      <c r="P338" s="12">
        <f t="shared" si="10"/>
        <v>-411</v>
      </c>
      <c r="Q338" t="str">
        <f t="shared" si="11"/>
        <v>①연체되지 않은 채권</v>
      </c>
    </row>
    <row r="339" spans="1:17" ht="13.95" customHeight="1" outlineLevel="3" x14ac:dyDescent="0.25">
      <c r="A339" t="s">
        <v>1</v>
      </c>
      <c r="B339" s="2">
        <v>41274</v>
      </c>
      <c r="C339" s="2">
        <v>41274</v>
      </c>
      <c r="D339" s="2">
        <v>41319</v>
      </c>
      <c r="E339" s="2"/>
      <c r="F339" t="s">
        <v>2</v>
      </c>
      <c r="G339" s="3">
        <v>45</v>
      </c>
      <c r="H339" s="4">
        <v>26753.37</v>
      </c>
      <c r="I339" t="s">
        <v>3</v>
      </c>
      <c r="J339" s="6">
        <v>1400000118</v>
      </c>
      <c r="K339" t="s">
        <v>0</v>
      </c>
      <c r="L339" s="3">
        <v>2766</v>
      </c>
      <c r="M339" s="3">
        <v>2735</v>
      </c>
      <c r="N339" t="s">
        <v>4</v>
      </c>
      <c r="O339" s="6">
        <v>1050</v>
      </c>
      <c r="P339" s="12">
        <f t="shared" si="10"/>
        <v>-411</v>
      </c>
      <c r="Q339" t="str">
        <f t="shared" si="11"/>
        <v>①연체되지 않은 채권</v>
      </c>
    </row>
    <row r="340" spans="1:17" ht="13.95" customHeight="1" outlineLevel="3" x14ac:dyDescent="0.25">
      <c r="A340" t="s">
        <v>1</v>
      </c>
      <c r="B340" s="2">
        <v>41274</v>
      </c>
      <c r="C340" s="2">
        <v>41274</v>
      </c>
      <c r="D340" s="2">
        <v>41319</v>
      </c>
      <c r="E340" s="2"/>
      <c r="F340" t="s">
        <v>2</v>
      </c>
      <c r="G340" s="3">
        <v>45</v>
      </c>
      <c r="H340" s="4">
        <v>31433.99</v>
      </c>
      <c r="I340" t="s">
        <v>3</v>
      </c>
      <c r="J340" s="6">
        <v>1400000117</v>
      </c>
      <c r="K340" t="s">
        <v>0</v>
      </c>
      <c r="L340" s="3">
        <v>2766</v>
      </c>
      <c r="M340" s="3">
        <v>2735</v>
      </c>
      <c r="N340" t="s">
        <v>4</v>
      </c>
      <c r="O340" s="6">
        <v>1050</v>
      </c>
      <c r="P340" s="12">
        <f t="shared" si="10"/>
        <v>-411</v>
      </c>
      <c r="Q340" t="str">
        <f t="shared" si="11"/>
        <v>①연체되지 않은 채권</v>
      </c>
    </row>
    <row r="341" spans="1:17" ht="13.95" customHeight="1" outlineLevel="3" x14ac:dyDescent="0.25">
      <c r="A341" t="s">
        <v>1</v>
      </c>
      <c r="B341" s="2">
        <v>41226</v>
      </c>
      <c r="C341" s="2">
        <v>41226</v>
      </c>
      <c r="D341" s="2">
        <v>41271</v>
      </c>
      <c r="E341" s="2"/>
      <c r="F341" t="s">
        <v>2</v>
      </c>
      <c r="G341" s="3">
        <v>45</v>
      </c>
      <c r="H341" s="4">
        <v>47132.52</v>
      </c>
      <c r="I341" t="s">
        <v>3</v>
      </c>
      <c r="J341" s="6">
        <v>1400000113</v>
      </c>
      <c r="K341" t="s">
        <v>0</v>
      </c>
      <c r="L341" s="3">
        <v>2814</v>
      </c>
      <c r="M341" s="3">
        <v>2783</v>
      </c>
      <c r="N341" t="s">
        <v>4</v>
      </c>
      <c r="O341" s="6">
        <v>1050</v>
      </c>
      <c r="P341" s="12">
        <f t="shared" si="10"/>
        <v>-363</v>
      </c>
      <c r="Q341" t="str">
        <f t="shared" si="11"/>
        <v>①연체되지 않은 채권</v>
      </c>
    </row>
    <row r="342" spans="1:17" ht="13.95" customHeight="1" outlineLevel="3" x14ac:dyDescent="0.25">
      <c r="A342" t="s">
        <v>1</v>
      </c>
      <c r="B342" s="2">
        <v>41226</v>
      </c>
      <c r="C342" s="2">
        <v>41226</v>
      </c>
      <c r="D342" s="2">
        <v>41271</v>
      </c>
      <c r="E342" s="2"/>
      <c r="F342" t="s">
        <v>2</v>
      </c>
      <c r="G342" s="3">
        <v>45</v>
      </c>
      <c r="H342" s="4">
        <v>30575.279999999999</v>
      </c>
      <c r="I342" t="s">
        <v>3</v>
      </c>
      <c r="J342" s="6">
        <v>1400000112</v>
      </c>
      <c r="K342" t="s">
        <v>0</v>
      </c>
      <c r="L342" s="3">
        <v>2814</v>
      </c>
      <c r="M342" s="3">
        <v>2783</v>
      </c>
      <c r="N342" t="s">
        <v>4</v>
      </c>
      <c r="O342" s="6">
        <v>1050</v>
      </c>
      <c r="P342" s="12">
        <f t="shared" si="10"/>
        <v>-363</v>
      </c>
      <c r="Q342" t="str">
        <f t="shared" si="11"/>
        <v>①연체되지 않은 채권</v>
      </c>
    </row>
    <row r="343" spans="1:17" ht="13.95" customHeight="1" outlineLevel="3" x14ac:dyDescent="0.25">
      <c r="A343" t="s">
        <v>1</v>
      </c>
      <c r="B343" s="2">
        <v>41226</v>
      </c>
      <c r="C343" s="2">
        <v>41226</v>
      </c>
      <c r="D343" s="2">
        <v>41271</v>
      </c>
      <c r="E343" s="2"/>
      <c r="F343" t="s">
        <v>2</v>
      </c>
      <c r="G343" s="3">
        <v>45</v>
      </c>
      <c r="H343" s="4">
        <v>31433.99</v>
      </c>
      <c r="I343" t="s">
        <v>3</v>
      </c>
      <c r="J343" s="6">
        <v>1400000111</v>
      </c>
      <c r="K343" t="s">
        <v>0</v>
      </c>
      <c r="L343" s="3">
        <v>2814</v>
      </c>
      <c r="M343" s="3">
        <v>2783</v>
      </c>
      <c r="N343" t="s">
        <v>4</v>
      </c>
      <c r="O343" s="6">
        <v>1050</v>
      </c>
      <c r="P343" s="12">
        <f t="shared" si="10"/>
        <v>-363</v>
      </c>
      <c r="Q343" t="str">
        <f t="shared" si="11"/>
        <v>①연체되지 않은 채권</v>
      </c>
    </row>
    <row r="344" spans="1:17" ht="13.95" customHeight="1" outlineLevel="3" x14ac:dyDescent="0.25">
      <c r="A344" t="s">
        <v>1</v>
      </c>
      <c r="B344" s="2">
        <v>41226</v>
      </c>
      <c r="C344" s="2">
        <v>41226</v>
      </c>
      <c r="D344" s="2">
        <v>41271</v>
      </c>
      <c r="E344" s="2"/>
      <c r="F344" t="s">
        <v>2</v>
      </c>
      <c r="G344" s="3">
        <v>45</v>
      </c>
      <c r="H344" s="4">
        <v>51060.23</v>
      </c>
      <c r="I344" t="s">
        <v>3</v>
      </c>
      <c r="J344" s="6">
        <v>1400000110</v>
      </c>
      <c r="K344" t="s">
        <v>0</v>
      </c>
      <c r="L344" s="3">
        <v>2814</v>
      </c>
      <c r="M344" s="3">
        <v>2783</v>
      </c>
      <c r="N344" t="s">
        <v>4</v>
      </c>
      <c r="O344" s="6">
        <v>1050</v>
      </c>
      <c r="P344" s="12">
        <f t="shared" si="10"/>
        <v>-363</v>
      </c>
      <c r="Q344" t="str">
        <f t="shared" si="11"/>
        <v>①연체되지 않은 채권</v>
      </c>
    </row>
    <row r="345" spans="1:17" ht="13.95" customHeight="1" outlineLevel="3" x14ac:dyDescent="0.25">
      <c r="A345" t="s">
        <v>1</v>
      </c>
      <c r="B345" s="2">
        <v>41226</v>
      </c>
      <c r="C345" s="2">
        <v>41226</v>
      </c>
      <c r="D345" s="2">
        <v>41271</v>
      </c>
      <c r="E345" s="2"/>
      <c r="F345" t="s">
        <v>2</v>
      </c>
      <c r="G345" s="3">
        <v>45</v>
      </c>
      <c r="H345" s="4">
        <v>34397.19</v>
      </c>
      <c r="I345" t="s">
        <v>3</v>
      </c>
      <c r="J345" s="6">
        <v>1400000109</v>
      </c>
      <c r="K345" t="s">
        <v>0</v>
      </c>
      <c r="L345" s="3">
        <v>2814</v>
      </c>
      <c r="M345" s="3">
        <v>2783</v>
      </c>
      <c r="N345" t="s">
        <v>4</v>
      </c>
      <c r="O345" s="6">
        <v>1050</v>
      </c>
      <c r="P345" s="12">
        <f t="shared" si="10"/>
        <v>-363</v>
      </c>
      <c r="Q345" t="str">
        <f t="shared" si="11"/>
        <v>①연체되지 않은 채권</v>
      </c>
    </row>
    <row r="346" spans="1:17" ht="13.95" customHeight="1" outlineLevel="3" x14ac:dyDescent="0.25">
      <c r="A346" t="s">
        <v>1</v>
      </c>
      <c r="B346" s="2">
        <v>41226</v>
      </c>
      <c r="C346" s="2">
        <v>41226</v>
      </c>
      <c r="D346" s="2">
        <v>41271</v>
      </c>
      <c r="E346" s="2"/>
      <c r="F346" t="s">
        <v>2</v>
      </c>
      <c r="G346" s="3">
        <v>45</v>
      </c>
      <c r="H346" s="4">
        <v>27941.32</v>
      </c>
      <c r="I346" t="s">
        <v>3</v>
      </c>
      <c r="J346" s="6">
        <v>1400000108</v>
      </c>
      <c r="K346" t="s">
        <v>0</v>
      </c>
      <c r="L346" s="3">
        <v>2814</v>
      </c>
      <c r="M346" s="3">
        <v>2783</v>
      </c>
      <c r="N346" t="s">
        <v>4</v>
      </c>
      <c r="O346" s="6">
        <v>1050</v>
      </c>
      <c r="P346" s="12">
        <f t="shared" si="10"/>
        <v>-363</v>
      </c>
      <c r="Q346" t="str">
        <f t="shared" si="11"/>
        <v>①연체되지 않은 채권</v>
      </c>
    </row>
    <row r="347" spans="1:17" ht="13.95" customHeight="1" outlineLevel="3" x14ac:dyDescent="0.25">
      <c r="A347" t="s">
        <v>1</v>
      </c>
      <c r="B347" s="2">
        <v>41187</v>
      </c>
      <c r="C347" s="2">
        <v>41187</v>
      </c>
      <c r="D347" s="2">
        <v>41232</v>
      </c>
      <c r="E347" s="2"/>
      <c r="F347" t="s">
        <v>2</v>
      </c>
      <c r="G347" s="3">
        <v>45</v>
      </c>
      <c r="H347" s="4">
        <v>51060.23</v>
      </c>
      <c r="I347" t="s">
        <v>3</v>
      </c>
      <c r="J347" s="6">
        <v>1400000104</v>
      </c>
      <c r="K347" t="s">
        <v>0</v>
      </c>
      <c r="L347" s="3">
        <v>2853</v>
      </c>
      <c r="M347" s="3">
        <v>2822</v>
      </c>
      <c r="N347" t="s">
        <v>4</v>
      </c>
      <c r="O347" s="6">
        <v>1050</v>
      </c>
      <c r="P347" s="12">
        <f t="shared" si="10"/>
        <v>-324</v>
      </c>
      <c r="Q347" t="str">
        <f t="shared" si="11"/>
        <v>①연체되지 않은 채권</v>
      </c>
    </row>
    <row r="348" spans="1:17" ht="13.95" customHeight="1" outlineLevel="3" x14ac:dyDescent="0.25">
      <c r="A348" t="s">
        <v>1</v>
      </c>
      <c r="B348" s="2">
        <v>41187</v>
      </c>
      <c r="C348" s="2">
        <v>41187</v>
      </c>
      <c r="D348" s="2">
        <v>41232</v>
      </c>
      <c r="E348" s="2"/>
      <c r="F348" t="s">
        <v>2</v>
      </c>
      <c r="G348" s="3">
        <v>45</v>
      </c>
      <c r="H348" s="4">
        <v>38219.1</v>
      </c>
      <c r="I348" t="s">
        <v>3</v>
      </c>
      <c r="J348" s="6">
        <v>1400000103</v>
      </c>
      <c r="K348" t="s">
        <v>0</v>
      </c>
      <c r="L348" s="3">
        <v>2853</v>
      </c>
      <c r="M348" s="3">
        <v>2822</v>
      </c>
      <c r="N348" t="s">
        <v>4</v>
      </c>
      <c r="O348" s="6">
        <v>1050</v>
      </c>
      <c r="P348" s="12">
        <f t="shared" si="10"/>
        <v>-324</v>
      </c>
      <c r="Q348" t="str">
        <f t="shared" si="11"/>
        <v>①연체되지 않은 채권</v>
      </c>
    </row>
    <row r="349" spans="1:17" ht="13.95" customHeight="1" outlineLevel="3" x14ac:dyDescent="0.25">
      <c r="A349" t="s">
        <v>1</v>
      </c>
      <c r="B349" s="2">
        <v>41187</v>
      </c>
      <c r="C349" s="2">
        <v>41187</v>
      </c>
      <c r="D349" s="2">
        <v>41232</v>
      </c>
      <c r="E349" s="2"/>
      <c r="F349" t="s">
        <v>2</v>
      </c>
      <c r="G349" s="3">
        <v>45</v>
      </c>
      <c r="H349" s="4">
        <v>24448.66</v>
      </c>
      <c r="I349" t="s">
        <v>3</v>
      </c>
      <c r="J349" s="6">
        <v>1400000102</v>
      </c>
      <c r="K349" t="s">
        <v>0</v>
      </c>
      <c r="L349" s="3">
        <v>2853</v>
      </c>
      <c r="M349" s="3">
        <v>2822</v>
      </c>
      <c r="N349" t="s">
        <v>4</v>
      </c>
      <c r="O349" s="6">
        <v>1050</v>
      </c>
      <c r="P349" s="12">
        <f t="shared" si="10"/>
        <v>-324</v>
      </c>
      <c r="Q349" t="str">
        <f t="shared" si="11"/>
        <v>①연체되지 않은 채권</v>
      </c>
    </row>
    <row r="350" spans="1:17" ht="13.95" customHeight="1" outlineLevel="3" x14ac:dyDescent="0.25">
      <c r="A350" t="s">
        <v>1</v>
      </c>
      <c r="B350" s="2">
        <v>41187</v>
      </c>
      <c r="C350" s="2">
        <v>41187</v>
      </c>
      <c r="D350" s="2">
        <v>41232</v>
      </c>
      <c r="E350" s="2"/>
      <c r="F350" t="s">
        <v>2</v>
      </c>
      <c r="G350" s="3">
        <v>45</v>
      </c>
      <c r="H350" s="4">
        <v>54987.94</v>
      </c>
      <c r="I350" t="s">
        <v>3</v>
      </c>
      <c r="J350" s="6">
        <v>1400000101</v>
      </c>
      <c r="K350" t="s">
        <v>0</v>
      </c>
      <c r="L350" s="3">
        <v>2853</v>
      </c>
      <c r="M350" s="3">
        <v>2822</v>
      </c>
      <c r="N350" t="s">
        <v>4</v>
      </c>
      <c r="O350" s="6">
        <v>1050</v>
      </c>
      <c r="P350" s="12">
        <f t="shared" si="10"/>
        <v>-324</v>
      </c>
      <c r="Q350" t="str">
        <f t="shared" si="11"/>
        <v>①연체되지 않은 채권</v>
      </c>
    </row>
    <row r="351" spans="1:17" ht="13.95" customHeight="1" outlineLevel="3" x14ac:dyDescent="0.25">
      <c r="A351" t="s">
        <v>1</v>
      </c>
      <c r="B351" s="2">
        <v>41187</v>
      </c>
      <c r="C351" s="2">
        <v>41187</v>
      </c>
      <c r="D351" s="2">
        <v>41232</v>
      </c>
      <c r="E351" s="2"/>
      <c r="F351" t="s">
        <v>2</v>
      </c>
      <c r="G351" s="3">
        <v>45</v>
      </c>
      <c r="H351" s="4">
        <v>42041.01</v>
      </c>
      <c r="I351" t="s">
        <v>3</v>
      </c>
      <c r="J351" s="6">
        <v>1400000100</v>
      </c>
      <c r="K351" t="s">
        <v>0</v>
      </c>
      <c r="L351" s="3">
        <v>2853</v>
      </c>
      <c r="M351" s="3">
        <v>2822</v>
      </c>
      <c r="N351" t="s">
        <v>4</v>
      </c>
      <c r="O351" s="6">
        <v>1050</v>
      </c>
      <c r="P351" s="12">
        <f t="shared" si="10"/>
        <v>-324</v>
      </c>
      <c r="Q351" t="str">
        <f t="shared" si="11"/>
        <v>①연체되지 않은 채권</v>
      </c>
    </row>
    <row r="352" spans="1:17" ht="13.95" customHeight="1" outlineLevel="3" x14ac:dyDescent="0.25">
      <c r="A352" t="s">
        <v>1</v>
      </c>
      <c r="B352" s="2">
        <v>41187</v>
      </c>
      <c r="C352" s="2">
        <v>41187</v>
      </c>
      <c r="D352" s="2">
        <v>41232</v>
      </c>
      <c r="E352" s="2"/>
      <c r="F352" t="s">
        <v>2</v>
      </c>
      <c r="G352" s="3">
        <v>45</v>
      </c>
      <c r="H352" s="4">
        <v>20955.990000000002</v>
      </c>
      <c r="I352" t="s">
        <v>3</v>
      </c>
      <c r="J352" s="6">
        <v>1400000099</v>
      </c>
      <c r="K352" t="s">
        <v>0</v>
      </c>
      <c r="L352" s="3">
        <v>2853</v>
      </c>
      <c r="M352" s="3">
        <v>2822</v>
      </c>
      <c r="N352" t="s">
        <v>4</v>
      </c>
      <c r="O352" s="6">
        <v>1050</v>
      </c>
      <c r="P352" s="12">
        <f t="shared" si="10"/>
        <v>-324</v>
      </c>
      <c r="Q352" t="str">
        <f t="shared" si="11"/>
        <v>①연체되지 않은 채권</v>
      </c>
    </row>
    <row r="353" spans="1:17" ht="13.95" customHeight="1" outlineLevel="3" x14ac:dyDescent="0.25">
      <c r="A353" t="s">
        <v>1</v>
      </c>
      <c r="B353" s="2">
        <v>41157</v>
      </c>
      <c r="C353" s="2">
        <v>41157</v>
      </c>
      <c r="D353" s="2">
        <v>41202</v>
      </c>
      <c r="E353" s="2"/>
      <c r="F353" t="s">
        <v>2</v>
      </c>
      <c r="G353" s="3">
        <v>45</v>
      </c>
      <c r="H353" s="4">
        <v>47132.52</v>
      </c>
      <c r="I353" t="s">
        <v>3</v>
      </c>
      <c r="J353" s="6">
        <v>1400000095</v>
      </c>
      <c r="K353" t="s">
        <v>0</v>
      </c>
      <c r="L353" s="3">
        <v>2883</v>
      </c>
      <c r="M353" s="3">
        <v>2852</v>
      </c>
      <c r="N353" t="s">
        <v>4</v>
      </c>
      <c r="O353" s="6">
        <v>1050</v>
      </c>
      <c r="P353" s="12">
        <f t="shared" si="10"/>
        <v>-294</v>
      </c>
      <c r="Q353" t="str">
        <f t="shared" si="11"/>
        <v>①연체되지 않은 채권</v>
      </c>
    </row>
    <row r="354" spans="1:17" ht="13.95" customHeight="1" outlineLevel="3" x14ac:dyDescent="0.25">
      <c r="A354" t="s">
        <v>1</v>
      </c>
      <c r="B354" s="2">
        <v>41157</v>
      </c>
      <c r="C354" s="2">
        <v>41157</v>
      </c>
      <c r="D354" s="2">
        <v>41202</v>
      </c>
      <c r="E354" s="2"/>
      <c r="F354" t="s">
        <v>2</v>
      </c>
      <c r="G354" s="3">
        <v>45</v>
      </c>
      <c r="H354" s="4">
        <v>53506.74</v>
      </c>
      <c r="I354" t="s">
        <v>3</v>
      </c>
      <c r="J354" s="6">
        <v>1400000094</v>
      </c>
      <c r="K354" t="s">
        <v>0</v>
      </c>
      <c r="L354" s="3">
        <v>2883</v>
      </c>
      <c r="M354" s="3">
        <v>2852</v>
      </c>
      <c r="N354" t="s">
        <v>4</v>
      </c>
      <c r="O354" s="6">
        <v>1050</v>
      </c>
      <c r="P354" s="12">
        <f t="shared" si="10"/>
        <v>-294</v>
      </c>
      <c r="Q354" t="str">
        <f t="shared" si="11"/>
        <v>①연체되지 않은 채권</v>
      </c>
    </row>
    <row r="355" spans="1:17" ht="13.95" customHeight="1" outlineLevel="3" x14ac:dyDescent="0.25">
      <c r="A355" t="s">
        <v>1</v>
      </c>
      <c r="B355" s="2">
        <v>41157</v>
      </c>
      <c r="C355" s="2">
        <v>41157</v>
      </c>
      <c r="D355" s="2">
        <v>41202</v>
      </c>
      <c r="E355" s="2"/>
      <c r="F355" t="s">
        <v>2</v>
      </c>
      <c r="G355" s="3">
        <v>45</v>
      </c>
      <c r="H355" s="4">
        <v>17463.330000000002</v>
      </c>
      <c r="I355" t="s">
        <v>3</v>
      </c>
      <c r="J355" s="6">
        <v>1400000093</v>
      </c>
      <c r="K355" t="s">
        <v>0</v>
      </c>
      <c r="L355" s="3">
        <v>2883</v>
      </c>
      <c r="M355" s="3">
        <v>2852</v>
      </c>
      <c r="N355" t="s">
        <v>4</v>
      </c>
      <c r="O355" s="6">
        <v>1050</v>
      </c>
      <c r="P355" s="12">
        <f t="shared" si="10"/>
        <v>-294</v>
      </c>
      <c r="Q355" t="str">
        <f t="shared" si="11"/>
        <v>①연체되지 않은 채권</v>
      </c>
    </row>
    <row r="356" spans="1:17" ht="13.95" customHeight="1" outlineLevel="3" x14ac:dyDescent="0.25">
      <c r="A356" t="s">
        <v>1</v>
      </c>
      <c r="B356" s="2">
        <v>40025</v>
      </c>
      <c r="C356" s="2">
        <v>40025</v>
      </c>
      <c r="D356" s="2">
        <v>40070</v>
      </c>
      <c r="E356" s="2"/>
      <c r="F356" t="s">
        <v>2</v>
      </c>
      <c r="G356" s="3">
        <v>45</v>
      </c>
      <c r="H356" s="4">
        <v>28450.28</v>
      </c>
      <c r="I356" t="s">
        <v>3</v>
      </c>
      <c r="J356" s="6">
        <v>1400000129</v>
      </c>
      <c r="K356" t="s">
        <v>0</v>
      </c>
      <c r="L356" s="3">
        <v>4015</v>
      </c>
      <c r="M356" s="3">
        <v>3984</v>
      </c>
      <c r="N356" t="s">
        <v>4</v>
      </c>
      <c r="O356" s="6">
        <v>1050</v>
      </c>
      <c r="P356" s="12">
        <f t="shared" si="10"/>
        <v>838</v>
      </c>
      <c r="Q356" t="str">
        <f t="shared" si="11"/>
        <v>⑤만기경과 후 12개월 초과</v>
      </c>
    </row>
    <row r="357" spans="1:17" ht="13.95" customHeight="1" outlineLevel="3" x14ac:dyDescent="0.25">
      <c r="A357" t="s">
        <v>1</v>
      </c>
      <c r="B357" s="2">
        <v>40025</v>
      </c>
      <c r="C357" s="2">
        <v>40025</v>
      </c>
      <c r="D357" s="2">
        <v>40070</v>
      </c>
      <c r="E357" s="2"/>
      <c r="F357" t="s">
        <v>2</v>
      </c>
      <c r="G357" s="3">
        <v>45</v>
      </c>
      <c r="H357" s="4">
        <v>63277.54</v>
      </c>
      <c r="I357" t="s">
        <v>3</v>
      </c>
      <c r="J357" s="6">
        <v>1400000128</v>
      </c>
      <c r="K357" t="s">
        <v>0</v>
      </c>
      <c r="L357" s="3">
        <v>4015</v>
      </c>
      <c r="M357" s="3">
        <v>3984</v>
      </c>
      <c r="N357" t="s">
        <v>4</v>
      </c>
      <c r="O357" s="6">
        <v>1050</v>
      </c>
      <c r="P357" s="12">
        <f t="shared" si="10"/>
        <v>838</v>
      </c>
      <c r="Q357" t="str">
        <f t="shared" si="11"/>
        <v>⑤만기경과 후 12개월 초과</v>
      </c>
    </row>
    <row r="358" spans="1:17" ht="13.95" customHeight="1" outlineLevel="3" x14ac:dyDescent="0.25">
      <c r="A358" t="s">
        <v>1</v>
      </c>
      <c r="B358" s="2">
        <v>40025</v>
      </c>
      <c r="C358" s="2">
        <v>40025</v>
      </c>
      <c r="D358" s="2">
        <v>40070</v>
      </c>
      <c r="E358" s="2"/>
      <c r="F358" t="s">
        <v>2</v>
      </c>
      <c r="G358" s="3">
        <v>45</v>
      </c>
      <c r="H358" s="4">
        <v>21684.89</v>
      </c>
      <c r="I358" t="s">
        <v>3</v>
      </c>
      <c r="J358" s="6">
        <v>1400000127</v>
      </c>
      <c r="K358" t="s">
        <v>0</v>
      </c>
      <c r="L358" s="3">
        <v>4015</v>
      </c>
      <c r="M358" s="3">
        <v>3984</v>
      </c>
      <c r="N358" t="s">
        <v>4</v>
      </c>
      <c r="O358" s="6">
        <v>1050</v>
      </c>
      <c r="P358" s="12">
        <f t="shared" si="10"/>
        <v>838</v>
      </c>
      <c r="Q358" t="str">
        <f t="shared" si="11"/>
        <v>⑤만기경과 후 12개월 초과</v>
      </c>
    </row>
    <row r="359" spans="1:17" ht="13.95" customHeight="1" outlineLevel="3" x14ac:dyDescent="0.25">
      <c r="A359" t="s">
        <v>1</v>
      </c>
      <c r="B359" s="2">
        <v>39994</v>
      </c>
      <c r="C359" s="2">
        <v>39994</v>
      </c>
      <c r="D359" s="2">
        <v>40039</v>
      </c>
      <c r="E359" s="2"/>
      <c r="F359" t="s">
        <v>2</v>
      </c>
      <c r="G359" s="3">
        <v>45</v>
      </c>
      <c r="H359" s="4">
        <v>16257.3</v>
      </c>
      <c r="I359" t="s">
        <v>3</v>
      </c>
      <c r="J359" s="6">
        <v>1400000113</v>
      </c>
      <c r="K359" t="s">
        <v>0</v>
      </c>
      <c r="L359" s="3">
        <v>4046</v>
      </c>
      <c r="M359" s="3">
        <v>4015</v>
      </c>
      <c r="N359" t="s">
        <v>4</v>
      </c>
      <c r="O359" s="6">
        <v>1050</v>
      </c>
      <c r="P359" s="12">
        <f t="shared" si="10"/>
        <v>869</v>
      </c>
      <c r="Q359" t="str">
        <f t="shared" si="11"/>
        <v>⑤만기경과 후 12개월 초과</v>
      </c>
    </row>
    <row r="360" spans="1:17" ht="13.95" customHeight="1" outlineLevel="3" x14ac:dyDescent="0.25">
      <c r="A360" t="s">
        <v>1</v>
      </c>
      <c r="B360" s="2">
        <v>39994</v>
      </c>
      <c r="C360" s="2">
        <v>39994</v>
      </c>
      <c r="D360" s="2">
        <v>40039</v>
      </c>
      <c r="E360" s="2"/>
      <c r="F360" t="s">
        <v>2</v>
      </c>
      <c r="G360" s="3">
        <v>45</v>
      </c>
      <c r="H360" s="4">
        <v>59322.69</v>
      </c>
      <c r="I360" t="s">
        <v>3</v>
      </c>
      <c r="J360" s="6">
        <v>1400000112</v>
      </c>
      <c r="K360" t="s">
        <v>0</v>
      </c>
      <c r="L360" s="3">
        <v>4046</v>
      </c>
      <c r="M360" s="3">
        <v>4015</v>
      </c>
      <c r="N360" t="s">
        <v>4</v>
      </c>
      <c r="O360" s="6">
        <v>1050</v>
      </c>
      <c r="P360" s="12">
        <f t="shared" si="10"/>
        <v>869</v>
      </c>
      <c r="Q360" t="str">
        <f t="shared" si="11"/>
        <v>⑤만기경과 후 12개월 초과</v>
      </c>
    </row>
    <row r="361" spans="1:17" ht="13.95" customHeight="1" outlineLevel="3" x14ac:dyDescent="0.25">
      <c r="A361" t="s">
        <v>1</v>
      </c>
      <c r="B361" s="2">
        <v>39994</v>
      </c>
      <c r="C361" s="2">
        <v>39994</v>
      </c>
      <c r="D361" s="2">
        <v>40039</v>
      </c>
      <c r="E361" s="2"/>
      <c r="F361" t="s">
        <v>2</v>
      </c>
      <c r="G361" s="3">
        <v>45</v>
      </c>
      <c r="H361" s="4">
        <v>28913.19</v>
      </c>
      <c r="I361" t="s">
        <v>3</v>
      </c>
      <c r="J361" s="6">
        <v>1400000111</v>
      </c>
      <c r="K361" t="s">
        <v>0</v>
      </c>
      <c r="L361" s="3">
        <v>4046</v>
      </c>
      <c r="M361" s="3">
        <v>4015</v>
      </c>
      <c r="N361" t="s">
        <v>4</v>
      </c>
      <c r="O361" s="6">
        <v>1050</v>
      </c>
      <c r="P361" s="12">
        <f t="shared" si="10"/>
        <v>869</v>
      </c>
      <c r="Q361" t="str">
        <f t="shared" si="11"/>
        <v>⑤만기경과 후 12개월 초과</v>
      </c>
    </row>
    <row r="362" spans="1:17" ht="13.95" customHeight="1" outlineLevel="3" x14ac:dyDescent="0.25">
      <c r="A362" t="s">
        <v>1</v>
      </c>
      <c r="B362" s="2">
        <v>39994</v>
      </c>
      <c r="C362" s="2">
        <v>39994</v>
      </c>
      <c r="D362" s="2">
        <v>40039</v>
      </c>
      <c r="E362" s="2"/>
      <c r="F362" t="s">
        <v>2</v>
      </c>
      <c r="G362" s="3">
        <v>45</v>
      </c>
      <c r="H362" s="4">
        <v>24385.96</v>
      </c>
      <c r="I362" t="s">
        <v>3</v>
      </c>
      <c r="J362" s="6">
        <v>1400000110</v>
      </c>
      <c r="K362" t="s">
        <v>0</v>
      </c>
      <c r="L362" s="3">
        <v>4046</v>
      </c>
      <c r="M362" s="3">
        <v>4015</v>
      </c>
      <c r="N362" t="s">
        <v>4</v>
      </c>
      <c r="O362" s="6">
        <v>1050</v>
      </c>
      <c r="P362" s="12">
        <f t="shared" si="10"/>
        <v>869</v>
      </c>
      <c r="Q362" t="str">
        <f t="shared" si="11"/>
        <v>⑤만기경과 후 12개월 초과</v>
      </c>
    </row>
    <row r="363" spans="1:17" ht="13.95" customHeight="1" outlineLevel="3" x14ac:dyDescent="0.25">
      <c r="A363" t="s">
        <v>1</v>
      </c>
      <c r="B363" s="2">
        <v>39994</v>
      </c>
      <c r="C363" s="2">
        <v>39994</v>
      </c>
      <c r="D363" s="2">
        <v>40039</v>
      </c>
      <c r="E363" s="2"/>
      <c r="F363" t="s">
        <v>2</v>
      </c>
      <c r="G363" s="3">
        <v>45</v>
      </c>
      <c r="H363" s="4">
        <v>55367.839999999997</v>
      </c>
      <c r="I363" t="s">
        <v>3</v>
      </c>
      <c r="J363" s="6">
        <v>1400000109</v>
      </c>
      <c r="K363" t="s">
        <v>0</v>
      </c>
      <c r="L363" s="3">
        <v>4046</v>
      </c>
      <c r="M363" s="3">
        <v>4015</v>
      </c>
      <c r="N363" t="s">
        <v>4</v>
      </c>
      <c r="O363" s="6">
        <v>1050</v>
      </c>
      <c r="P363" s="12">
        <f t="shared" si="10"/>
        <v>869</v>
      </c>
      <c r="Q363" t="str">
        <f t="shared" si="11"/>
        <v>⑤만기경과 후 12개월 초과</v>
      </c>
    </row>
    <row r="364" spans="1:17" ht="13.95" customHeight="1" outlineLevel="3" x14ac:dyDescent="0.25">
      <c r="A364" t="s">
        <v>1</v>
      </c>
      <c r="B364" s="2">
        <v>39994</v>
      </c>
      <c r="C364" s="2">
        <v>39994</v>
      </c>
      <c r="D364" s="2">
        <v>40039</v>
      </c>
      <c r="E364" s="2"/>
      <c r="F364" t="s">
        <v>2</v>
      </c>
      <c r="G364" s="3">
        <v>45</v>
      </c>
      <c r="H364" s="4">
        <v>28913.19</v>
      </c>
      <c r="I364" t="s">
        <v>3</v>
      </c>
      <c r="J364" s="6">
        <v>1400000108</v>
      </c>
      <c r="K364" t="s">
        <v>0</v>
      </c>
      <c r="L364" s="3">
        <v>4046</v>
      </c>
      <c r="M364" s="3">
        <v>4015</v>
      </c>
      <c r="N364" t="s">
        <v>4</v>
      </c>
      <c r="O364" s="6">
        <v>1050</v>
      </c>
      <c r="P364" s="12">
        <f t="shared" si="10"/>
        <v>869</v>
      </c>
      <c r="Q364" t="str">
        <f t="shared" si="11"/>
        <v>⑤만기경과 후 12개월 초과</v>
      </c>
    </row>
    <row r="365" spans="1:17" ht="13.95" customHeight="1" outlineLevel="3" x14ac:dyDescent="0.25">
      <c r="A365" t="s">
        <v>1</v>
      </c>
      <c r="B365" s="2">
        <v>39964</v>
      </c>
      <c r="C365" s="2">
        <v>39964</v>
      </c>
      <c r="D365" s="2">
        <v>40009</v>
      </c>
      <c r="E365" s="2"/>
      <c r="F365" t="s">
        <v>2</v>
      </c>
      <c r="G365" s="3">
        <v>45</v>
      </c>
      <c r="H365" s="4">
        <v>16257.3</v>
      </c>
      <c r="I365" t="s">
        <v>3</v>
      </c>
      <c r="J365" s="6">
        <v>1400000094</v>
      </c>
      <c r="K365" t="s">
        <v>0</v>
      </c>
      <c r="L365" s="3">
        <v>4076</v>
      </c>
      <c r="M365" s="3">
        <v>4045</v>
      </c>
      <c r="N365" t="s">
        <v>4</v>
      </c>
      <c r="O365" s="6">
        <v>1050</v>
      </c>
      <c r="P365" s="12">
        <f t="shared" si="10"/>
        <v>899</v>
      </c>
      <c r="Q365" t="str">
        <f t="shared" si="11"/>
        <v>⑤만기경과 후 12개월 초과</v>
      </c>
    </row>
    <row r="366" spans="1:17" ht="13.95" customHeight="1" outlineLevel="3" x14ac:dyDescent="0.25">
      <c r="A366" t="s">
        <v>1</v>
      </c>
      <c r="B366" s="2">
        <v>39964</v>
      </c>
      <c r="C366" s="2">
        <v>39964</v>
      </c>
      <c r="D366" s="2">
        <v>40009</v>
      </c>
      <c r="E366" s="2"/>
      <c r="F366" t="s">
        <v>2</v>
      </c>
      <c r="G366" s="3">
        <v>45</v>
      </c>
      <c r="H366" s="4">
        <v>47458.15</v>
      </c>
      <c r="I366" t="s">
        <v>3</v>
      </c>
      <c r="J366" s="6">
        <v>1400000093</v>
      </c>
      <c r="K366" t="s">
        <v>0</v>
      </c>
      <c r="L366" s="3">
        <v>4076</v>
      </c>
      <c r="M366" s="3">
        <v>4045</v>
      </c>
      <c r="N366" t="s">
        <v>4</v>
      </c>
      <c r="O366" s="6">
        <v>1050</v>
      </c>
      <c r="P366" s="12">
        <f t="shared" si="10"/>
        <v>899</v>
      </c>
      <c r="Q366" t="str">
        <f t="shared" si="11"/>
        <v>⑤만기경과 후 12개월 초과</v>
      </c>
    </row>
    <row r="367" spans="1:17" ht="13.95" customHeight="1" outlineLevel="3" x14ac:dyDescent="0.25">
      <c r="A367" t="s">
        <v>1</v>
      </c>
      <c r="B367" s="2">
        <v>39964</v>
      </c>
      <c r="C367" s="2">
        <v>39964</v>
      </c>
      <c r="D367" s="2">
        <v>40009</v>
      </c>
      <c r="E367" s="2"/>
      <c r="F367" t="s">
        <v>2</v>
      </c>
      <c r="G367" s="3">
        <v>45</v>
      </c>
      <c r="H367" s="4">
        <v>36141.49</v>
      </c>
      <c r="I367" t="s">
        <v>3</v>
      </c>
      <c r="J367" s="6">
        <v>1400000092</v>
      </c>
      <c r="K367" t="s">
        <v>0</v>
      </c>
      <c r="L367" s="3">
        <v>4076</v>
      </c>
      <c r="M367" s="3">
        <v>4045</v>
      </c>
      <c r="N367" t="s">
        <v>4</v>
      </c>
      <c r="O367" s="6">
        <v>1050</v>
      </c>
      <c r="P367" s="12">
        <f t="shared" si="10"/>
        <v>899</v>
      </c>
      <c r="Q367" t="str">
        <f t="shared" si="11"/>
        <v>⑤만기경과 후 12개월 초과</v>
      </c>
    </row>
    <row r="368" spans="1:17" ht="13.95" customHeight="1" outlineLevel="3" x14ac:dyDescent="0.25">
      <c r="A368" t="s">
        <v>1</v>
      </c>
      <c r="B368" s="2">
        <v>39964</v>
      </c>
      <c r="C368" s="2">
        <v>39964</v>
      </c>
      <c r="D368" s="2">
        <v>40009</v>
      </c>
      <c r="E368" s="2"/>
      <c r="F368" t="s">
        <v>2</v>
      </c>
      <c r="G368" s="3">
        <v>45</v>
      </c>
      <c r="H368" s="4">
        <v>20321.63</v>
      </c>
      <c r="I368" t="s">
        <v>3</v>
      </c>
      <c r="J368" s="6">
        <v>1400000091</v>
      </c>
      <c r="K368" t="s">
        <v>0</v>
      </c>
      <c r="L368" s="3">
        <v>4076</v>
      </c>
      <c r="M368" s="3">
        <v>4045</v>
      </c>
      <c r="N368" t="s">
        <v>4</v>
      </c>
      <c r="O368" s="6">
        <v>1050</v>
      </c>
      <c r="P368" s="12">
        <f t="shared" si="10"/>
        <v>899</v>
      </c>
      <c r="Q368" t="str">
        <f t="shared" si="11"/>
        <v>⑤만기경과 후 12개월 초과</v>
      </c>
    </row>
    <row r="369" spans="1:17" ht="13.95" customHeight="1" outlineLevel="3" x14ac:dyDescent="0.25">
      <c r="A369" t="s">
        <v>1</v>
      </c>
      <c r="B369" s="2">
        <v>39964</v>
      </c>
      <c r="C369" s="2">
        <v>39964</v>
      </c>
      <c r="D369" s="2">
        <v>40009</v>
      </c>
      <c r="E369" s="2"/>
      <c r="F369" t="s">
        <v>2</v>
      </c>
      <c r="G369" s="3">
        <v>45</v>
      </c>
      <c r="H369" s="4">
        <v>51413</v>
      </c>
      <c r="I369" t="s">
        <v>3</v>
      </c>
      <c r="J369" s="6">
        <v>1400000090</v>
      </c>
      <c r="K369" t="s">
        <v>0</v>
      </c>
      <c r="L369" s="3">
        <v>4076</v>
      </c>
      <c r="M369" s="3">
        <v>4045</v>
      </c>
      <c r="N369" t="s">
        <v>4</v>
      </c>
      <c r="O369" s="6">
        <v>1050</v>
      </c>
      <c r="P369" s="12">
        <f t="shared" si="10"/>
        <v>899</v>
      </c>
      <c r="Q369" t="str">
        <f t="shared" si="11"/>
        <v>⑤만기경과 후 12개월 초과</v>
      </c>
    </row>
    <row r="370" spans="1:17" ht="13.95" customHeight="1" outlineLevel="3" x14ac:dyDescent="0.25">
      <c r="A370" t="s">
        <v>1</v>
      </c>
      <c r="B370" s="2">
        <v>39964</v>
      </c>
      <c r="C370" s="2">
        <v>39964</v>
      </c>
      <c r="D370" s="2">
        <v>40009</v>
      </c>
      <c r="E370" s="2"/>
      <c r="F370" t="s">
        <v>2</v>
      </c>
      <c r="G370" s="3">
        <v>45</v>
      </c>
      <c r="H370" s="4">
        <v>32527.34</v>
      </c>
      <c r="I370" t="s">
        <v>3</v>
      </c>
      <c r="J370" s="6">
        <v>1400000089</v>
      </c>
      <c r="K370" t="s">
        <v>0</v>
      </c>
      <c r="L370" s="3">
        <v>4076</v>
      </c>
      <c r="M370" s="3">
        <v>4045</v>
      </c>
      <c r="N370" t="s">
        <v>4</v>
      </c>
      <c r="O370" s="6">
        <v>1050</v>
      </c>
      <c r="P370" s="12">
        <f t="shared" si="10"/>
        <v>899</v>
      </c>
      <c r="Q370" t="str">
        <f t="shared" si="11"/>
        <v>⑤만기경과 후 12개월 초과</v>
      </c>
    </row>
    <row r="371" spans="1:17" ht="13.95" customHeight="1" outlineLevel="3" x14ac:dyDescent="0.25">
      <c r="A371" t="s">
        <v>1</v>
      </c>
      <c r="B371" s="2">
        <v>39933</v>
      </c>
      <c r="C371" s="2">
        <v>39933</v>
      </c>
      <c r="D371" s="2">
        <v>39978</v>
      </c>
      <c r="E371" s="2"/>
      <c r="F371" t="s">
        <v>2</v>
      </c>
      <c r="G371" s="3">
        <v>45</v>
      </c>
      <c r="H371" s="4">
        <v>24385.96</v>
      </c>
      <c r="I371" t="s">
        <v>3</v>
      </c>
      <c r="J371" s="6">
        <v>1400000075</v>
      </c>
      <c r="K371" t="s">
        <v>0</v>
      </c>
      <c r="L371" s="3">
        <v>4107</v>
      </c>
      <c r="M371" s="3">
        <v>4076</v>
      </c>
      <c r="N371" t="s">
        <v>4</v>
      </c>
      <c r="O371" s="6">
        <v>1050</v>
      </c>
      <c r="P371" s="12">
        <f t="shared" si="10"/>
        <v>930</v>
      </c>
      <c r="Q371" t="str">
        <f t="shared" si="11"/>
        <v>⑤만기경과 후 12개월 초과</v>
      </c>
    </row>
    <row r="372" spans="1:17" ht="13.95" customHeight="1" outlineLevel="3" x14ac:dyDescent="0.25">
      <c r="A372" t="s">
        <v>1</v>
      </c>
      <c r="B372" s="2">
        <v>39933</v>
      </c>
      <c r="C372" s="2">
        <v>39933</v>
      </c>
      <c r="D372" s="2">
        <v>39978</v>
      </c>
      <c r="E372" s="2"/>
      <c r="F372" t="s">
        <v>2</v>
      </c>
      <c r="G372" s="3">
        <v>45</v>
      </c>
      <c r="H372" s="4">
        <v>39548.46</v>
      </c>
      <c r="I372" t="s">
        <v>3</v>
      </c>
      <c r="J372" s="6">
        <v>1400000074</v>
      </c>
      <c r="K372" t="s">
        <v>0</v>
      </c>
      <c r="L372" s="3">
        <v>4107</v>
      </c>
      <c r="M372" s="3">
        <v>4076</v>
      </c>
      <c r="N372" t="s">
        <v>4</v>
      </c>
      <c r="O372" s="6">
        <v>1050</v>
      </c>
      <c r="P372" s="12">
        <f t="shared" si="10"/>
        <v>930</v>
      </c>
      <c r="Q372" t="str">
        <f t="shared" si="11"/>
        <v>⑤만기경과 후 12개월 초과</v>
      </c>
    </row>
    <row r="373" spans="1:17" ht="13.95" customHeight="1" outlineLevel="3" x14ac:dyDescent="0.25">
      <c r="A373" t="s">
        <v>1</v>
      </c>
      <c r="B373" s="2">
        <v>39933</v>
      </c>
      <c r="C373" s="2">
        <v>39933</v>
      </c>
      <c r="D373" s="2">
        <v>39978</v>
      </c>
      <c r="E373" s="2"/>
      <c r="F373" t="s">
        <v>2</v>
      </c>
      <c r="G373" s="3">
        <v>45</v>
      </c>
      <c r="H373" s="4">
        <v>46983.94</v>
      </c>
      <c r="I373" t="s">
        <v>3</v>
      </c>
      <c r="J373" s="6">
        <v>1400000073</v>
      </c>
      <c r="K373" t="s">
        <v>0</v>
      </c>
      <c r="L373" s="3">
        <v>4107</v>
      </c>
      <c r="M373" s="3">
        <v>4076</v>
      </c>
      <c r="N373" t="s">
        <v>4</v>
      </c>
      <c r="O373" s="6">
        <v>1050</v>
      </c>
      <c r="P373" s="12">
        <f t="shared" si="10"/>
        <v>930</v>
      </c>
      <c r="Q373" t="str">
        <f t="shared" si="11"/>
        <v>⑤만기경과 후 12개월 초과</v>
      </c>
    </row>
    <row r="374" spans="1:17" ht="13.95" customHeight="1" outlineLevel="3" x14ac:dyDescent="0.25">
      <c r="A374" t="s">
        <v>1</v>
      </c>
      <c r="B374" s="2">
        <v>39933</v>
      </c>
      <c r="C374" s="2">
        <v>39933</v>
      </c>
      <c r="D374" s="2">
        <v>39978</v>
      </c>
      <c r="E374" s="2"/>
      <c r="F374" t="s">
        <v>2</v>
      </c>
      <c r="G374" s="3">
        <v>45</v>
      </c>
      <c r="H374" s="4">
        <v>20321.63</v>
      </c>
      <c r="I374" t="s">
        <v>3</v>
      </c>
      <c r="J374" s="6">
        <v>1400000072</v>
      </c>
      <c r="K374" t="s">
        <v>0</v>
      </c>
      <c r="L374" s="3">
        <v>4107</v>
      </c>
      <c r="M374" s="3">
        <v>4076</v>
      </c>
      <c r="N374" t="s">
        <v>4</v>
      </c>
      <c r="O374" s="6">
        <v>1050</v>
      </c>
      <c r="P374" s="12">
        <f t="shared" si="10"/>
        <v>930</v>
      </c>
      <c r="Q374" t="str">
        <f t="shared" si="11"/>
        <v>⑤만기경과 후 12개월 초과</v>
      </c>
    </row>
    <row r="375" spans="1:17" ht="13.95" customHeight="1" outlineLevel="3" x14ac:dyDescent="0.25">
      <c r="A375" t="s">
        <v>1</v>
      </c>
      <c r="B375" s="2">
        <v>39933</v>
      </c>
      <c r="C375" s="2">
        <v>39933</v>
      </c>
      <c r="D375" s="2">
        <v>39978</v>
      </c>
      <c r="E375" s="2"/>
      <c r="F375" t="s">
        <v>2</v>
      </c>
      <c r="G375" s="3">
        <v>45</v>
      </c>
      <c r="H375" s="4">
        <v>43503.31</v>
      </c>
      <c r="I375" t="s">
        <v>3</v>
      </c>
      <c r="J375" s="6">
        <v>1400000071</v>
      </c>
      <c r="K375" t="s">
        <v>0</v>
      </c>
      <c r="L375" s="3">
        <v>4107</v>
      </c>
      <c r="M375" s="3">
        <v>4076</v>
      </c>
      <c r="N375" t="s">
        <v>4</v>
      </c>
      <c r="O375" s="6">
        <v>1050</v>
      </c>
      <c r="P375" s="12">
        <f t="shared" si="10"/>
        <v>930</v>
      </c>
      <c r="Q375" t="str">
        <f t="shared" si="11"/>
        <v>⑤만기경과 후 12개월 초과</v>
      </c>
    </row>
    <row r="376" spans="1:17" ht="13.95" customHeight="1" outlineLevel="3" x14ac:dyDescent="0.25">
      <c r="A376" t="s">
        <v>1</v>
      </c>
      <c r="B376" s="2">
        <v>39933</v>
      </c>
      <c r="C376" s="2">
        <v>39933</v>
      </c>
      <c r="D376" s="2">
        <v>39978</v>
      </c>
      <c r="E376" s="2"/>
      <c r="F376" t="s">
        <v>2</v>
      </c>
      <c r="G376" s="3">
        <v>45</v>
      </c>
      <c r="H376" s="4">
        <v>39755.64</v>
      </c>
      <c r="I376" t="s">
        <v>3</v>
      </c>
      <c r="J376" s="6">
        <v>1400000070</v>
      </c>
      <c r="K376" t="s">
        <v>0</v>
      </c>
      <c r="L376" s="3">
        <v>4107</v>
      </c>
      <c r="M376" s="3">
        <v>4076</v>
      </c>
      <c r="N376" t="s">
        <v>4</v>
      </c>
      <c r="O376" s="6">
        <v>1050</v>
      </c>
      <c r="P376" s="12">
        <f t="shared" si="10"/>
        <v>930</v>
      </c>
      <c r="Q376" t="str">
        <f t="shared" si="11"/>
        <v>⑤만기경과 후 12개월 초과</v>
      </c>
    </row>
    <row r="377" spans="1:17" ht="13.95" customHeight="1" outlineLevel="3" x14ac:dyDescent="0.25">
      <c r="A377" t="s">
        <v>1</v>
      </c>
      <c r="B377" s="2">
        <v>39903</v>
      </c>
      <c r="C377" s="2">
        <v>39903</v>
      </c>
      <c r="D377" s="2">
        <v>39948</v>
      </c>
      <c r="E377" s="2"/>
      <c r="F377" t="s">
        <v>2</v>
      </c>
      <c r="G377" s="3">
        <v>45</v>
      </c>
      <c r="H377" s="4">
        <v>32514.61</v>
      </c>
      <c r="I377" t="s">
        <v>3</v>
      </c>
      <c r="J377" s="6">
        <v>1400000056</v>
      </c>
      <c r="K377" t="s">
        <v>0</v>
      </c>
      <c r="L377" s="3">
        <v>4137</v>
      </c>
      <c r="M377" s="3">
        <v>4106</v>
      </c>
      <c r="N377" t="s">
        <v>4</v>
      </c>
      <c r="O377" s="6">
        <v>1050</v>
      </c>
      <c r="P377" s="12">
        <f t="shared" si="10"/>
        <v>960</v>
      </c>
      <c r="Q377" t="str">
        <f t="shared" si="11"/>
        <v>⑤만기경과 후 12개월 초과</v>
      </c>
    </row>
    <row r="378" spans="1:17" ht="13.95" customHeight="1" outlineLevel="3" x14ac:dyDescent="0.25">
      <c r="A378" t="s">
        <v>1</v>
      </c>
      <c r="B378" s="2">
        <v>40025</v>
      </c>
      <c r="C378" s="2">
        <v>40025</v>
      </c>
      <c r="D378" s="2">
        <v>40070</v>
      </c>
      <c r="E378" s="2"/>
      <c r="F378" t="s">
        <v>2</v>
      </c>
      <c r="G378" s="3">
        <v>45</v>
      </c>
      <c r="H378" s="4">
        <v>21684.89</v>
      </c>
      <c r="I378" t="s">
        <v>3</v>
      </c>
      <c r="J378" s="6">
        <v>1400000130</v>
      </c>
      <c r="K378" t="s">
        <v>0</v>
      </c>
      <c r="L378" s="3">
        <v>4015</v>
      </c>
      <c r="M378" s="3">
        <v>3984</v>
      </c>
      <c r="N378" t="s">
        <v>4</v>
      </c>
      <c r="O378" s="6">
        <v>1050</v>
      </c>
      <c r="P378" s="12">
        <f t="shared" si="10"/>
        <v>838</v>
      </c>
      <c r="Q378" t="str">
        <f t="shared" si="11"/>
        <v>⑤만기경과 후 12개월 초과</v>
      </c>
    </row>
    <row r="379" spans="1:17" ht="13.95" customHeight="1" outlineLevel="3" x14ac:dyDescent="0.25">
      <c r="A379" t="s">
        <v>1</v>
      </c>
      <c r="B379" s="2">
        <v>40147</v>
      </c>
      <c r="C379" s="2">
        <v>40147</v>
      </c>
      <c r="D379" s="2">
        <v>40192</v>
      </c>
      <c r="E379" s="2"/>
      <c r="F379" t="s">
        <v>2</v>
      </c>
      <c r="G379" s="3">
        <v>45</v>
      </c>
      <c r="H379" s="4">
        <v>35593.61</v>
      </c>
      <c r="I379" t="s">
        <v>3</v>
      </c>
      <c r="J379" s="6">
        <v>1400000174</v>
      </c>
      <c r="K379" t="s">
        <v>0</v>
      </c>
      <c r="L379" s="3">
        <v>3893</v>
      </c>
      <c r="M379" s="3">
        <v>3862</v>
      </c>
      <c r="N379" t="s">
        <v>4</v>
      </c>
      <c r="O379" s="6">
        <v>1050</v>
      </c>
      <c r="P379" s="12">
        <f t="shared" si="10"/>
        <v>716</v>
      </c>
      <c r="Q379" t="str">
        <f t="shared" si="11"/>
        <v>⑤만기경과 후 12개월 초과</v>
      </c>
    </row>
    <row r="380" spans="1:17" ht="13.95" customHeight="1" outlineLevel="3" x14ac:dyDescent="0.25">
      <c r="A380" t="s">
        <v>1</v>
      </c>
      <c r="B380" s="2">
        <v>40147</v>
      </c>
      <c r="C380" s="2">
        <v>40147</v>
      </c>
      <c r="D380" s="2">
        <v>40192</v>
      </c>
      <c r="E380" s="2"/>
      <c r="F380" t="s">
        <v>2</v>
      </c>
      <c r="G380" s="3">
        <v>45</v>
      </c>
      <c r="H380" s="4">
        <v>28913.19</v>
      </c>
      <c r="I380" t="s">
        <v>3</v>
      </c>
      <c r="J380" s="6">
        <v>1400000173</v>
      </c>
      <c r="K380" t="s">
        <v>0</v>
      </c>
      <c r="L380" s="3">
        <v>3893</v>
      </c>
      <c r="M380" s="3">
        <v>3862</v>
      </c>
      <c r="N380" t="s">
        <v>4</v>
      </c>
      <c r="O380" s="6">
        <v>1050</v>
      </c>
      <c r="P380" s="12">
        <f t="shared" si="10"/>
        <v>716</v>
      </c>
      <c r="Q380" t="str">
        <f t="shared" si="11"/>
        <v>⑤만기경과 후 12개월 초과</v>
      </c>
    </row>
    <row r="381" spans="1:17" ht="13.95" customHeight="1" outlineLevel="3" x14ac:dyDescent="0.25">
      <c r="A381" t="s">
        <v>1</v>
      </c>
      <c r="B381" s="2">
        <v>40117</v>
      </c>
      <c r="C381" s="2">
        <v>40117</v>
      </c>
      <c r="D381" s="2">
        <v>40162</v>
      </c>
      <c r="E381" s="2"/>
      <c r="F381" t="s">
        <v>2</v>
      </c>
      <c r="G381" s="3">
        <v>45</v>
      </c>
      <c r="H381" s="4">
        <v>52836.24</v>
      </c>
      <c r="I381" t="s">
        <v>3</v>
      </c>
      <c r="J381" s="6">
        <v>1400000169</v>
      </c>
      <c r="K381" t="s">
        <v>0</v>
      </c>
      <c r="L381" s="3">
        <v>3923</v>
      </c>
      <c r="M381" s="3">
        <v>3892</v>
      </c>
      <c r="N381" t="s">
        <v>4</v>
      </c>
      <c r="O381" s="6">
        <v>1050</v>
      </c>
      <c r="P381" s="12">
        <f t="shared" si="10"/>
        <v>746</v>
      </c>
      <c r="Q381" t="str">
        <f t="shared" si="11"/>
        <v>⑤만기경과 후 12개월 초과</v>
      </c>
    </row>
    <row r="382" spans="1:17" ht="13.95" customHeight="1" outlineLevel="3" x14ac:dyDescent="0.25">
      <c r="A382" t="s">
        <v>1</v>
      </c>
      <c r="B382" s="2">
        <v>40117</v>
      </c>
      <c r="C382" s="2">
        <v>40117</v>
      </c>
      <c r="D382" s="2">
        <v>40162</v>
      </c>
      <c r="E382" s="2"/>
      <c r="F382" t="s">
        <v>2</v>
      </c>
      <c r="G382" s="3">
        <v>45</v>
      </c>
      <c r="H382" s="4">
        <v>39548.46</v>
      </c>
      <c r="I382" t="s">
        <v>3</v>
      </c>
      <c r="J382" s="6">
        <v>1400000168</v>
      </c>
      <c r="K382" t="s">
        <v>0</v>
      </c>
      <c r="L382" s="3">
        <v>3923</v>
      </c>
      <c r="M382" s="3">
        <v>3892</v>
      </c>
      <c r="N382" t="s">
        <v>4</v>
      </c>
      <c r="O382" s="6">
        <v>1050</v>
      </c>
      <c r="P382" s="12">
        <f t="shared" si="10"/>
        <v>746</v>
      </c>
      <c r="Q382" t="str">
        <f t="shared" si="11"/>
        <v>⑤만기경과 후 12개월 초과</v>
      </c>
    </row>
    <row r="383" spans="1:17" ht="13.95" customHeight="1" outlineLevel="3" x14ac:dyDescent="0.25">
      <c r="A383" t="s">
        <v>1</v>
      </c>
      <c r="B383" s="2">
        <v>40117</v>
      </c>
      <c r="C383" s="2">
        <v>40117</v>
      </c>
      <c r="D383" s="2">
        <v>40162</v>
      </c>
      <c r="E383" s="2"/>
      <c r="F383" t="s">
        <v>2</v>
      </c>
      <c r="G383" s="3">
        <v>45</v>
      </c>
      <c r="H383" s="4">
        <v>25299.040000000001</v>
      </c>
      <c r="I383" t="s">
        <v>3</v>
      </c>
      <c r="J383" s="6">
        <v>1400000167</v>
      </c>
      <c r="K383" t="s">
        <v>0</v>
      </c>
      <c r="L383" s="3">
        <v>3923</v>
      </c>
      <c r="M383" s="3">
        <v>3892</v>
      </c>
      <c r="N383" t="s">
        <v>4</v>
      </c>
      <c r="O383" s="6">
        <v>1050</v>
      </c>
      <c r="P383" s="12">
        <f t="shared" si="10"/>
        <v>746</v>
      </c>
      <c r="Q383" t="str">
        <f t="shared" si="11"/>
        <v>⑤만기경과 후 12개월 초과</v>
      </c>
    </row>
    <row r="384" spans="1:17" ht="13.95" customHeight="1" outlineLevel="3" x14ac:dyDescent="0.25">
      <c r="A384" t="s">
        <v>1</v>
      </c>
      <c r="B384" s="2">
        <v>40117</v>
      </c>
      <c r="C384" s="2">
        <v>40117</v>
      </c>
      <c r="D384" s="2">
        <v>40162</v>
      </c>
      <c r="E384" s="2"/>
      <c r="F384" t="s">
        <v>2</v>
      </c>
      <c r="G384" s="3">
        <v>45</v>
      </c>
      <c r="H384" s="4">
        <v>56900.56</v>
      </c>
      <c r="I384" t="s">
        <v>3</v>
      </c>
      <c r="J384" s="6">
        <v>1400000166</v>
      </c>
      <c r="K384" t="s">
        <v>0</v>
      </c>
      <c r="L384" s="3">
        <v>3923</v>
      </c>
      <c r="M384" s="3">
        <v>3892</v>
      </c>
      <c r="N384" t="s">
        <v>4</v>
      </c>
      <c r="O384" s="6">
        <v>1050</v>
      </c>
      <c r="P384" s="12">
        <f t="shared" si="10"/>
        <v>746</v>
      </c>
      <c r="Q384" t="str">
        <f t="shared" si="11"/>
        <v>⑤만기경과 후 12개월 초과</v>
      </c>
    </row>
    <row r="385" spans="1:17" ht="13.95" customHeight="1" outlineLevel="3" x14ac:dyDescent="0.25">
      <c r="A385" t="s">
        <v>1</v>
      </c>
      <c r="B385" s="2">
        <v>40117</v>
      </c>
      <c r="C385" s="2">
        <v>40117</v>
      </c>
      <c r="D385" s="2">
        <v>40162</v>
      </c>
      <c r="E385" s="2"/>
      <c r="F385" t="s">
        <v>2</v>
      </c>
      <c r="G385" s="3">
        <v>45</v>
      </c>
      <c r="H385" s="4">
        <v>43503.31</v>
      </c>
      <c r="I385" t="s">
        <v>3</v>
      </c>
      <c r="J385" s="6">
        <v>1400000165</v>
      </c>
      <c r="K385" t="s">
        <v>0</v>
      </c>
      <c r="L385" s="3">
        <v>3923</v>
      </c>
      <c r="M385" s="3">
        <v>3892</v>
      </c>
      <c r="N385" t="s">
        <v>4</v>
      </c>
      <c r="O385" s="6">
        <v>1050</v>
      </c>
      <c r="P385" s="12">
        <f t="shared" si="10"/>
        <v>746</v>
      </c>
      <c r="Q385" t="str">
        <f t="shared" si="11"/>
        <v>⑤만기경과 후 12개월 초과</v>
      </c>
    </row>
    <row r="386" spans="1:17" ht="13.95" customHeight="1" outlineLevel="3" x14ac:dyDescent="0.25">
      <c r="A386" t="s">
        <v>1</v>
      </c>
      <c r="B386" s="2">
        <v>40117</v>
      </c>
      <c r="C386" s="2">
        <v>40117</v>
      </c>
      <c r="D386" s="2">
        <v>40162</v>
      </c>
      <c r="E386" s="2"/>
      <c r="F386" t="s">
        <v>2</v>
      </c>
      <c r="G386" s="3">
        <v>45</v>
      </c>
      <c r="H386" s="4">
        <v>21684.89</v>
      </c>
      <c r="I386" t="s">
        <v>3</v>
      </c>
      <c r="J386" s="6">
        <v>1400000164</v>
      </c>
      <c r="K386" t="s">
        <v>0</v>
      </c>
      <c r="L386" s="3">
        <v>3923</v>
      </c>
      <c r="M386" s="3">
        <v>3892</v>
      </c>
      <c r="N386" t="s">
        <v>4</v>
      </c>
      <c r="O386" s="6">
        <v>1050</v>
      </c>
      <c r="P386" s="12">
        <f t="shared" si="10"/>
        <v>746</v>
      </c>
      <c r="Q386" t="str">
        <f t="shared" si="11"/>
        <v>⑤만기경과 후 12개월 초과</v>
      </c>
    </row>
    <row r="387" spans="1:17" ht="13.95" customHeight="1" outlineLevel="3" x14ac:dyDescent="0.25">
      <c r="A387" t="s">
        <v>1</v>
      </c>
      <c r="B387" s="2">
        <v>40086</v>
      </c>
      <c r="C387" s="2">
        <v>40086</v>
      </c>
      <c r="D387" s="2">
        <v>40131</v>
      </c>
      <c r="E387" s="2"/>
      <c r="F387" t="s">
        <v>2</v>
      </c>
      <c r="G387" s="3">
        <v>45</v>
      </c>
      <c r="H387" s="4">
        <v>48771.91</v>
      </c>
      <c r="I387" t="s">
        <v>3</v>
      </c>
      <c r="J387" s="6">
        <v>1400000160</v>
      </c>
      <c r="K387" t="s">
        <v>0</v>
      </c>
      <c r="L387" s="3">
        <v>3954</v>
      </c>
      <c r="M387" s="3">
        <v>3923</v>
      </c>
      <c r="N387" t="s">
        <v>4</v>
      </c>
      <c r="O387" s="6">
        <v>1050</v>
      </c>
      <c r="P387" s="12">
        <f t="shared" ref="P387:P450" si="12">$T$1-D387</f>
        <v>777</v>
      </c>
      <c r="Q387" t="str">
        <f t="shared" ref="Q387:Q450" si="13">IF(P387&lt;=0,"①연체되지 않은 채권",IF(P387&lt;=92,"②만기경과 후 3개월 이하",IF(P387&lt;=184,"③만기경과 후 4~6개월",IF(P387&lt;=365,"④만기경과 후 7~12개월","⑤만기경과 후 12개월 초과"))))</f>
        <v>⑤만기경과 후 12개월 초과</v>
      </c>
    </row>
    <row r="388" spans="1:17" ht="13.95" customHeight="1" outlineLevel="3" x14ac:dyDescent="0.25">
      <c r="A388" t="s">
        <v>1</v>
      </c>
      <c r="B388" s="2">
        <v>40086</v>
      </c>
      <c r="C388" s="2">
        <v>40086</v>
      </c>
      <c r="D388" s="2">
        <v>40131</v>
      </c>
      <c r="E388" s="2"/>
      <c r="F388" t="s">
        <v>2</v>
      </c>
      <c r="G388" s="3">
        <v>45</v>
      </c>
      <c r="H388" s="4">
        <v>55367.839999999997</v>
      </c>
      <c r="I388" t="s">
        <v>3</v>
      </c>
      <c r="J388" s="6">
        <v>1400000159</v>
      </c>
      <c r="K388" t="s">
        <v>0</v>
      </c>
      <c r="L388" s="3">
        <v>3954</v>
      </c>
      <c r="M388" s="3">
        <v>3923</v>
      </c>
      <c r="N388" t="s">
        <v>4</v>
      </c>
      <c r="O388" s="6">
        <v>1050</v>
      </c>
      <c r="P388" s="12">
        <f t="shared" si="12"/>
        <v>777</v>
      </c>
      <c r="Q388" t="str">
        <f t="shared" si="13"/>
        <v>⑤만기경과 후 12개월 초과</v>
      </c>
    </row>
    <row r="389" spans="1:17" ht="13.95" customHeight="1" outlineLevel="3" x14ac:dyDescent="0.25">
      <c r="A389" t="s">
        <v>1</v>
      </c>
      <c r="B389" s="2">
        <v>40086</v>
      </c>
      <c r="C389" s="2">
        <v>40086</v>
      </c>
      <c r="D389" s="2">
        <v>40131</v>
      </c>
      <c r="E389" s="2"/>
      <c r="F389" t="s">
        <v>2</v>
      </c>
      <c r="G389" s="3">
        <v>45</v>
      </c>
      <c r="H389" s="4">
        <v>18070.75</v>
      </c>
      <c r="I389" t="s">
        <v>3</v>
      </c>
      <c r="J389" s="6">
        <v>1400000158</v>
      </c>
      <c r="K389" t="s">
        <v>0</v>
      </c>
      <c r="L389" s="3">
        <v>3954</v>
      </c>
      <c r="M389" s="3">
        <v>3923</v>
      </c>
      <c r="N389" t="s">
        <v>4</v>
      </c>
      <c r="O389" s="6">
        <v>1050</v>
      </c>
      <c r="P389" s="12">
        <f t="shared" si="12"/>
        <v>777</v>
      </c>
      <c r="Q389" t="str">
        <f t="shared" si="13"/>
        <v>⑤만기경과 후 12개월 초과</v>
      </c>
    </row>
    <row r="390" spans="1:17" ht="13.95" customHeight="1" outlineLevel="3" x14ac:dyDescent="0.25">
      <c r="A390" t="s">
        <v>1</v>
      </c>
      <c r="B390" s="2">
        <v>40086</v>
      </c>
      <c r="C390" s="2">
        <v>40086</v>
      </c>
      <c r="D390" s="2">
        <v>40131</v>
      </c>
      <c r="E390" s="2"/>
      <c r="F390" t="s">
        <v>2</v>
      </c>
      <c r="G390" s="3">
        <v>45</v>
      </c>
      <c r="H390" s="4">
        <v>44707.59</v>
      </c>
      <c r="I390" t="s">
        <v>3</v>
      </c>
      <c r="J390" s="6">
        <v>1400000157</v>
      </c>
      <c r="K390" t="s">
        <v>0</v>
      </c>
      <c r="L390" s="3">
        <v>3954</v>
      </c>
      <c r="M390" s="3">
        <v>3923</v>
      </c>
      <c r="N390" t="s">
        <v>4</v>
      </c>
      <c r="O390" s="6">
        <v>1050</v>
      </c>
      <c r="P390" s="12">
        <f t="shared" si="12"/>
        <v>777</v>
      </c>
      <c r="Q390" t="str">
        <f t="shared" si="13"/>
        <v>⑤만기경과 후 12개월 초과</v>
      </c>
    </row>
    <row r="391" spans="1:17" ht="13.95" customHeight="1" outlineLevel="3" x14ac:dyDescent="0.25">
      <c r="A391" t="s">
        <v>1</v>
      </c>
      <c r="B391" s="2">
        <v>40086</v>
      </c>
      <c r="C391" s="2">
        <v>40086</v>
      </c>
      <c r="D391" s="2">
        <v>40131</v>
      </c>
      <c r="E391" s="2"/>
      <c r="F391" t="s">
        <v>2</v>
      </c>
      <c r="G391" s="3">
        <v>45</v>
      </c>
      <c r="H391" s="4">
        <v>47458.15</v>
      </c>
      <c r="I391" t="s">
        <v>3</v>
      </c>
      <c r="J391" s="6">
        <v>1400000156</v>
      </c>
      <c r="K391" t="s">
        <v>0</v>
      </c>
      <c r="L391" s="3">
        <v>3954</v>
      </c>
      <c r="M391" s="3">
        <v>3923</v>
      </c>
      <c r="N391" t="s">
        <v>4</v>
      </c>
      <c r="O391" s="6">
        <v>1050</v>
      </c>
      <c r="P391" s="12">
        <f t="shared" si="12"/>
        <v>777</v>
      </c>
      <c r="Q391" t="str">
        <f t="shared" si="13"/>
        <v>⑤만기경과 후 12개월 초과</v>
      </c>
    </row>
    <row r="392" spans="1:17" ht="13.95" customHeight="1" outlineLevel="3" x14ac:dyDescent="0.25">
      <c r="A392" t="s">
        <v>1</v>
      </c>
      <c r="B392" s="2">
        <v>40086</v>
      </c>
      <c r="C392" s="2">
        <v>40086</v>
      </c>
      <c r="D392" s="2">
        <v>40131</v>
      </c>
      <c r="E392" s="2"/>
      <c r="F392" t="s">
        <v>2</v>
      </c>
      <c r="G392" s="3">
        <v>45</v>
      </c>
      <c r="H392" s="4">
        <v>18070.75</v>
      </c>
      <c r="I392" t="s">
        <v>3</v>
      </c>
      <c r="J392" s="6">
        <v>1400000155</v>
      </c>
      <c r="K392" t="s">
        <v>0</v>
      </c>
      <c r="L392" s="3">
        <v>3954</v>
      </c>
      <c r="M392" s="3">
        <v>3923</v>
      </c>
      <c r="N392" t="s">
        <v>4</v>
      </c>
      <c r="O392" s="6">
        <v>1050</v>
      </c>
      <c r="P392" s="12">
        <f t="shared" si="12"/>
        <v>777</v>
      </c>
      <c r="Q392" t="str">
        <f t="shared" si="13"/>
        <v>⑤만기경과 후 12개월 초과</v>
      </c>
    </row>
    <row r="393" spans="1:17" ht="13.95" customHeight="1" outlineLevel="3" x14ac:dyDescent="0.25">
      <c r="A393" t="s">
        <v>1</v>
      </c>
      <c r="B393" s="2">
        <v>40056</v>
      </c>
      <c r="C393" s="2">
        <v>40056</v>
      </c>
      <c r="D393" s="2">
        <v>40101</v>
      </c>
      <c r="E393" s="2"/>
      <c r="F393" t="s">
        <v>2</v>
      </c>
      <c r="G393" s="3">
        <v>45</v>
      </c>
      <c r="H393" s="4">
        <v>36578.93</v>
      </c>
      <c r="I393" t="s">
        <v>3</v>
      </c>
      <c r="J393" s="6">
        <v>1400000151</v>
      </c>
      <c r="K393" t="s">
        <v>0</v>
      </c>
      <c r="L393" s="3">
        <v>3984</v>
      </c>
      <c r="M393" s="3">
        <v>3953</v>
      </c>
      <c r="N393" t="s">
        <v>4</v>
      </c>
      <c r="O393" s="6">
        <v>1050</v>
      </c>
      <c r="P393" s="12">
        <f t="shared" si="12"/>
        <v>807</v>
      </c>
      <c r="Q393" t="str">
        <f t="shared" si="13"/>
        <v>⑤만기경과 후 12개월 초과</v>
      </c>
    </row>
    <row r="394" spans="1:17" ht="13.95" customHeight="1" outlineLevel="3" x14ac:dyDescent="0.25">
      <c r="A394" t="s">
        <v>1</v>
      </c>
      <c r="B394" s="2">
        <v>40056</v>
      </c>
      <c r="C394" s="2">
        <v>40056</v>
      </c>
      <c r="D394" s="2">
        <v>40101</v>
      </c>
      <c r="E394" s="2"/>
      <c r="F394" t="s">
        <v>2</v>
      </c>
      <c r="G394" s="3">
        <v>45</v>
      </c>
      <c r="H394" s="4">
        <v>63277.54</v>
      </c>
      <c r="I394" t="s">
        <v>3</v>
      </c>
      <c r="J394" s="6">
        <v>1400000150</v>
      </c>
      <c r="K394" t="s">
        <v>0</v>
      </c>
      <c r="L394" s="3">
        <v>3984</v>
      </c>
      <c r="M394" s="3">
        <v>3953</v>
      </c>
      <c r="N394" t="s">
        <v>4</v>
      </c>
      <c r="O394" s="6">
        <v>1050</v>
      </c>
      <c r="P394" s="12">
        <f t="shared" si="12"/>
        <v>807</v>
      </c>
      <c r="Q394" t="str">
        <f t="shared" si="13"/>
        <v>⑤만기경과 후 12개월 초과</v>
      </c>
    </row>
    <row r="395" spans="1:17" ht="13.95" customHeight="1" outlineLevel="3" x14ac:dyDescent="0.25">
      <c r="A395" t="s">
        <v>1</v>
      </c>
      <c r="B395" s="2">
        <v>40056</v>
      </c>
      <c r="C395" s="2">
        <v>40056</v>
      </c>
      <c r="D395" s="2">
        <v>40101</v>
      </c>
      <c r="E395" s="2"/>
      <c r="F395" t="s">
        <v>2</v>
      </c>
      <c r="G395" s="3">
        <v>45</v>
      </c>
      <c r="H395" s="4">
        <v>21684.89</v>
      </c>
      <c r="I395" t="s">
        <v>3</v>
      </c>
      <c r="J395" s="6">
        <v>1400000149</v>
      </c>
      <c r="K395" t="s">
        <v>0</v>
      </c>
      <c r="L395" s="3">
        <v>3984</v>
      </c>
      <c r="M395" s="3">
        <v>3953</v>
      </c>
      <c r="N395" t="s">
        <v>4</v>
      </c>
      <c r="O395" s="6">
        <v>1050</v>
      </c>
      <c r="P395" s="12">
        <f t="shared" si="12"/>
        <v>807</v>
      </c>
      <c r="Q395" t="str">
        <f t="shared" si="13"/>
        <v>⑤만기경과 후 12개월 초과</v>
      </c>
    </row>
    <row r="396" spans="1:17" ht="13.95" customHeight="1" outlineLevel="3" x14ac:dyDescent="0.25">
      <c r="A396" t="s">
        <v>1</v>
      </c>
      <c r="B396" s="2">
        <v>40056</v>
      </c>
      <c r="C396" s="2">
        <v>40056</v>
      </c>
      <c r="D396" s="2">
        <v>40101</v>
      </c>
      <c r="E396" s="2"/>
      <c r="F396" t="s">
        <v>2</v>
      </c>
      <c r="G396" s="3">
        <v>45</v>
      </c>
      <c r="H396" s="4">
        <v>40643.26</v>
      </c>
      <c r="I396" t="s">
        <v>3</v>
      </c>
      <c r="J396" s="6">
        <v>1400000148</v>
      </c>
      <c r="K396" t="s">
        <v>0</v>
      </c>
      <c r="L396" s="3">
        <v>3984</v>
      </c>
      <c r="M396" s="3">
        <v>3953</v>
      </c>
      <c r="N396" t="s">
        <v>4</v>
      </c>
      <c r="O396" s="6">
        <v>1050</v>
      </c>
      <c r="P396" s="12">
        <f t="shared" si="12"/>
        <v>807</v>
      </c>
      <c r="Q396" t="str">
        <f t="shared" si="13"/>
        <v>⑤만기경과 후 12개월 초과</v>
      </c>
    </row>
    <row r="397" spans="1:17" ht="13.95" customHeight="1" outlineLevel="3" x14ac:dyDescent="0.25">
      <c r="A397" t="s">
        <v>1</v>
      </c>
      <c r="B397" s="2">
        <v>40056</v>
      </c>
      <c r="C397" s="2">
        <v>40056</v>
      </c>
      <c r="D397" s="2">
        <v>40101</v>
      </c>
      <c r="E397" s="2"/>
      <c r="F397" t="s">
        <v>2</v>
      </c>
      <c r="G397" s="3">
        <v>45</v>
      </c>
      <c r="H397" s="4">
        <v>51413</v>
      </c>
      <c r="I397" t="s">
        <v>3</v>
      </c>
      <c r="J397" s="6">
        <v>1400000147</v>
      </c>
      <c r="K397" t="s">
        <v>0</v>
      </c>
      <c r="L397" s="3">
        <v>3984</v>
      </c>
      <c r="M397" s="3">
        <v>3953</v>
      </c>
      <c r="N397" t="s">
        <v>4</v>
      </c>
      <c r="O397" s="6">
        <v>1050</v>
      </c>
      <c r="P397" s="12">
        <f t="shared" si="12"/>
        <v>807</v>
      </c>
      <c r="Q397" t="str">
        <f t="shared" si="13"/>
        <v>⑤만기경과 후 12개월 초과</v>
      </c>
    </row>
    <row r="398" spans="1:17" ht="13.95" customHeight="1" outlineLevel="3" x14ac:dyDescent="0.25">
      <c r="A398" t="s">
        <v>1</v>
      </c>
      <c r="B398" s="2">
        <v>40056</v>
      </c>
      <c r="C398" s="2">
        <v>40056</v>
      </c>
      <c r="D398" s="2">
        <v>40101</v>
      </c>
      <c r="E398" s="2"/>
      <c r="F398" t="s">
        <v>2</v>
      </c>
      <c r="G398" s="3">
        <v>45</v>
      </c>
      <c r="H398" s="4">
        <v>14456.6</v>
      </c>
      <c r="I398" t="s">
        <v>3</v>
      </c>
      <c r="J398" s="6">
        <v>1400000146</v>
      </c>
      <c r="K398" t="s">
        <v>0</v>
      </c>
      <c r="L398" s="3">
        <v>3984</v>
      </c>
      <c r="M398" s="3">
        <v>3953</v>
      </c>
      <c r="N398" t="s">
        <v>4</v>
      </c>
      <c r="O398" s="6">
        <v>1050</v>
      </c>
      <c r="P398" s="12">
        <f t="shared" si="12"/>
        <v>807</v>
      </c>
      <c r="Q398" t="str">
        <f t="shared" si="13"/>
        <v>⑤만기경과 후 12개월 초과</v>
      </c>
    </row>
    <row r="399" spans="1:17" ht="13.95" customHeight="1" outlineLevel="3" x14ac:dyDescent="0.25">
      <c r="A399" t="s">
        <v>1</v>
      </c>
      <c r="B399" s="2">
        <v>40025</v>
      </c>
      <c r="C399" s="2">
        <v>40025</v>
      </c>
      <c r="D399" s="2">
        <v>40070</v>
      </c>
      <c r="E399" s="2"/>
      <c r="F399" t="s">
        <v>2</v>
      </c>
      <c r="G399" s="3">
        <v>45</v>
      </c>
      <c r="H399" s="4">
        <v>24385.96</v>
      </c>
      <c r="I399" t="s">
        <v>3</v>
      </c>
      <c r="J399" s="6">
        <v>1400000132</v>
      </c>
      <c r="K399" t="s">
        <v>0</v>
      </c>
      <c r="L399" s="3">
        <v>4015</v>
      </c>
      <c r="M399" s="3">
        <v>3984</v>
      </c>
      <c r="N399" t="s">
        <v>4</v>
      </c>
      <c r="O399" s="6">
        <v>1050</v>
      </c>
      <c r="P399" s="12">
        <f t="shared" si="12"/>
        <v>838</v>
      </c>
      <c r="Q399" t="str">
        <f t="shared" si="13"/>
        <v>⑤만기경과 후 12개월 초과</v>
      </c>
    </row>
    <row r="400" spans="1:17" ht="13.95" customHeight="1" outlineLevel="3" x14ac:dyDescent="0.25">
      <c r="A400" t="s">
        <v>1</v>
      </c>
      <c r="B400" s="2">
        <v>40025</v>
      </c>
      <c r="C400" s="2">
        <v>40025</v>
      </c>
      <c r="D400" s="2">
        <v>40070</v>
      </c>
      <c r="E400" s="2"/>
      <c r="F400" t="s">
        <v>2</v>
      </c>
      <c r="G400" s="3">
        <v>45</v>
      </c>
      <c r="H400" s="4">
        <v>67232.38</v>
      </c>
      <c r="I400" t="s">
        <v>3</v>
      </c>
      <c r="J400" s="6">
        <v>1400000131</v>
      </c>
      <c r="K400" t="s">
        <v>0</v>
      </c>
      <c r="L400" s="3">
        <v>4015</v>
      </c>
      <c r="M400" s="3">
        <v>3984</v>
      </c>
      <c r="N400" t="s">
        <v>4</v>
      </c>
      <c r="O400" s="6">
        <v>1050</v>
      </c>
      <c r="P400" s="12">
        <f t="shared" si="12"/>
        <v>838</v>
      </c>
      <c r="Q400" t="str">
        <f t="shared" si="13"/>
        <v>⑤만기경과 후 12개월 초과</v>
      </c>
    </row>
    <row r="401" spans="1:17" ht="13.95" customHeight="1" outlineLevel="3" x14ac:dyDescent="0.25">
      <c r="A401" t="s">
        <v>1</v>
      </c>
      <c r="B401" s="2">
        <v>39782</v>
      </c>
      <c r="C401" s="2">
        <v>39782</v>
      </c>
      <c r="D401" s="2">
        <v>39827</v>
      </c>
      <c r="E401" s="2"/>
      <c r="F401" t="s">
        <v>2</v>
      </c>
      <c r="G401" s="3">
        <v>45</v>
      </c>
      <c r="H401" s="4">
        <v>48771.91</v>
      </c>
      <c r="I401" t="s">
        <v>3</v>
      </c>
      <c r="J401" s="6">
        <v>1400000217</v>
      </c>
      <c r="K401" t="s">
        <v>0</v>
      </c>
      <c r="L401" s="3">
        <v>4258</v>
      </c>
      <c r="M401" s="3">
        <v>4227</v>
      </c>
      <c r="N401" t="s">
        <v>4</v>
      </c>
      <c r="O401" s="6">
        <v>1050</v>
      </c>
      <c r="P401" s="12">
        <f t="shared" si="12"/>
        <v>1081</v>
      </c>
      <c r="Q401" t="str">
        <f t="shared" si="13"/>
        <v>⑤만기경과 후 12개월 초과</v>
      </c>
    </row>
    <row r="402" spans="1:17" ht="13.95" customHeight="1" outlineLevel="3" x14ac:dyDescent="0.25">
      <c r="A402" t="s">
        <v>1</v>
      </c>
      <c r="B402" s="2">
        <v>39782</v>
      </c>
      <c r="C402" s="2">
        <v>39782</v>
      </c>
      <c r="D402" s="2">
        <v>39827</v>
      </c>
      <c r="E402" s="2"/>
      <c r="F402" t="s">
        <v>2</v>
      </c>
      <c r="G402" s="3">
        <v>45</v>
      </c>
      <c r="H402" s="4">
        <v>31638.77</v>
      </c>
      <c r="I402" t="s">
        <v>3</v>
      </c>
      <c r="J402" s="6">
        <v>1400000216</v>
      </c>
      <c r="K402" t="s">
        <v>0</v>
      </c>
      <c r="L402" s="3">
        <v>4258</v>
      </c>
      <c r="M402" s="3">
        <v>4227</v>
      </c>
      <c r="N402" t="s">
        <v>4</v>
      </c>
      <c r="O402" s="6">
        <v>1050</v>
      </c>
      <c r="P402" s="12">
        <f t="shared" si="12"/>
        <v>1081</v>
      </c>
      <c r="Q402" t="str">
        <f t="shared" si="13"/>
        <v>⑤만기경과 후 12개월 초과</v>
      </c>
    </row>
    <row r="403" spans="1:17" ht="13.95" customHeight="1" outlineLevel="3" x14ac:dyDescent="0.25">
      <c r="A403" t="s">
        <v>1</v>
      </c>
      <c r="B403" s="2">
        <v>39782</v>
      </c>
      <c r="C403" s="2">
        <v>39782</v>
      </c>
      <c r="D403" s="2">
        <v>39827</v>
      </c>
      <c r="E403" s="2"/>
      <c r="F403" t="s">
        <v>2</v>
      </c>
      <c r="G403" s="3">
        <v>45</v>
      </c>
      <c r="H403" s="4">
        <v>32527.34</v>
      </c>
      <c r="I403" t="s">
        <v>3</v>
      </c>
      <c r="J403" s="6">
        <v>1400000215</v>
      </c>
      <c r="K403" t="s">
        <v>0</v>
      </c>
      <c r="L403" s="3">
        <v>4258</v>
      </c>
      <c r="M403" s="3">
        <v>4227</v>
      </c>
      <c r="N403" t="s">
        <v>4</v>
      </c>
      <c r="O403" s="6">
        <v>1050</v>
      </c>
      <c r="P403" s="12">
        <f t="shared" si="12"/>
        <v>1081</v>
      </c>
      <c r="Q403" t="str">
        <f t="shared" si="13"/>
        <v>⑤만기경과 후 12개월 초과</v>
      </c>
    </row>
    <row r="404" spans="1:17" ht="13.95" customHeight="1" outlineLevel="3" x14ac:dyDescent="0.25">
      <c r="A404" t="s">
        <v>1</v>
      </c>
      <c r="B404" s="2">
        <v>39782</v>
      </c>
      <c r="C404" s="2">
        <v>39782</v>
      </c>
      <c r="D404" s="2">
        <v>39827</v>
      </c>
      <c r="E404" s="2"/>
      <c r="F404" t="s">
        <v>2</v>
      </c>
      <c r="G404" s="3">
        <v>45</v>
      </c>
      <c r="H404" s="4">
        <v>52836.24</v>
      </c>
      <c r="I404" t="s">
        <v>3</v>
      </c>
      <c r="J404" s="6">
        <v>1400000214</v>
      </c>
      <c r="K404" t="s">
        <v>0</v>
      </c>
      <c r="L404" s="3">
        <v>4258</v>
      </c>
      <c r="M404" s="3">
        <v>4227</v>
      </c>
      <c r="N404" t="s">
        <v>4</v>
      </c>
      <c r="O404" s="6">
        <v>1050</v>
      </c>
      <c r="P404" s="12">
        <f t="shared" si="12"/>
        <v>1081</v>
      </c>
      <c r="Q404" t="str">
        <f t="shared" si="13"/>
        <v>⑤만기경과 후 12개월 초과</v>
      </c>
    </row>
    <row r="405" spans="1:17" ht="13.95" customHeight="1" outlineLevel="3" x14ac:dyDescent="0.25">
      <c r="A405" t="s">
        <v>1</v>
      </c>
      <c r="B405" s="2">
        <v>39782</v>
      </c>
      <c r="C405" s="2">
        <v>39782</v>
      </c>
      <c r="D405" s="2">
        <v>39827</v>
      </c>
      <c r="E405" s="2"/>
      <c r="F405" t="s">
        <v>2</v>
      </c>
      <c r="G405" s="3">
        <v>45</v>
      </c>
      <c r="H405" s="4">
        <v>35593.61</v>
      </c>
      <c r="I405" t="s">
        <v>3</v>
      </c>
      <c r="J405" s="6">
        <v>1400000213</v>
      </c>
      <c r="K405" t="s">
        <v>0</v>
      </c>
      <c r="L405" s="3">
        <v>4258</v>
      </c>
      <c r="M405" s="3">
        <v>4227</v>
      </c>
      <c r="N405" t="s">
        <v>4</v>
      </c>
      <c r="O405" s="6">
        <v>1050</v>
      </c>
      <c r="P405" s="12">
        <f t="shared" si="12"/>
        <v>1081</v>
      </c>
      <c r="Q405" t="str">
        <f t="shared" si="13"/>
        <v>⑤만기경과 후 12개월 초과</v>
      </c>
    </row>
    <row r="406" spans="1:17" ht="13.95" customHeight="1" outlineLevel="3" x14ac:dyDescent="0.25">
      <c r="A406" t="s">
        <v>1</v>
      </c>
      <c r="B406" s="2">
        <v>39782</v>
      </c>
      <c r="C406" s="2">
        <v>39782</v>
      </c>
      <c r="D406" s="2">
        <v>39827</v>
      </c>
      <c r="E406" s="2"/>
      <c r="F406" t="s">
        <v>2</v>
      </c>
      <c r="G406" s="3">
        <v>45</v>
      </c>
      <c r="H406" s="4">
        <v>28913.19</v>
      </c>
      <c r="I406" t="s">
        <v>3</v>
      </c>
      <c r="J406" s="6">
        <v>1400000212</v>
      </c>
      <c r="K406" t="s">
        <v>0</v>
      </c>
      <c r="L406" s="3">
        <v>4258</v>
      </c>
      <c r="M406" s="3">
        <v>4227</v>
      </c>
      <c r="N406" t="s">
        <v>4</v>
      </c>
      <c r="O406" s="6">
        <v>1050</v>
      </c>
      <c r="P406" s="12">
        <f t="shared" si="12"/>
        <v>1081</v>
      </c>
      <c r="Q406" t="str">
        <f t="shared" si="13"/>
        <v>⑤만기경과 후 12개월 초과</v>
      </c>
    </row>
    <row r="407" spans="1:17" ht="13.95" customHeight="1" outlineLevel="3" x14ac:dyDescent="0.25">
      <c r="A407" t="s">
        <v>1</v>
      </c>
      <c r="B407" s="2">
        <v>39752</v>
      </c>
      <c r="C407" s="2">
        <v>39752</v>
      </c>
      <c r="D407" s="2">
        <v>39797</v>
      </c>
      <c r="E407" s="2"/>
      <c r="F407" t="s">
        <v>2</v>
      </c>
      <c r="G407" s="3">
        <v>45</v>
      </c>
      <c r="H407" s="4">
        <v>52836.24</v>
      </c>
      <c r="I407" t="s">
        <v>3</v>
      </c>
      <c r="J407" s="6">
        <v>1400000198</v>
      </c>
      <c r="K407" t="s">
        <v>0</v>
      </c>
      <c r="L407" s="3">
        <v>4288</v>
      </c>
      <c r="M407" s="3">
        <v>4257</v>
      </c>
      <c r="N407" t="s">
        <v>4</v>
      </c>
      <c r="O407" s="6">
        <v>1050</v>
      </c>
      <c r="P407" s="12">
        <f t="shared" si="12"/>
        <v>1111</v>
      </c>
      <c r="Q407" t="str">
        <f t="shared" si="13"/>
        <v>⑤만기경과 후 12개월 초과</v>
      </c>
    </row>
    <row r="408" spans="1:17" ht="13.95" customHeight="1" outlineLevel="3" x14ac:dyDescent="0.25">
      <c r="A408" t="s">
        <v>1</v>
      </c>
      <c r="B408" s="2">
        <v>39752</v>
      </c>
      <c r="C408" s="2">
        <v>39752</v>
      </c>
      <c r="D408" s="2">
        <v>39797</v>
      </c>
      <c r="E408" s="2"/>
      <c r="F408" t="s">
        <v>2</v>
      </c>
      <c r="G408" s="3">
        <v>45</v>
      </c>
      <c r="H408" s="4">
        <v>39548.46</v>
      </c>
      <c r="I408" t="s">
        <v>3</v>
      </c>
      <c r="J408" s="6">
        <v>1400000197</v>
      </c>
      <c r="K408" t="s">
        <v>0</v>
      </c>
      <c r="L408" s="3">
        <v>4288</v>
      </c>
      <c r="M408" s="3">
        <v>4257</v>
      </c>
      <c r="N408" t="s">
        <v>4</v>
      </c>
      <c r="O408" s="6">
        <v>1050</v>
      </c>
      <c r="P408" s="12">
        <f t="shared" si="12"/>
        <v>1111</v>
      </c>
      <c r="Q408" t="str">
        <f t="shared" si="13"/>
        <v>⑤만기경과 후 12개월 초과</v>
      </c>
    </row>
    <row r="409" spans="1:17" ht="13.95" customHeight="1" outlineLevel="3" x14ac:dyDescent="0.25">
      <c r="A409" t="s">
        <v>1</v>
      </c>
      <c r="B409" s="2">
        <v>39752</v>
      </c>
      <c r="C409" s="2">
        <v>39752</v>
      </c>
      <c r="D409" s="2">
        <v>39797</v>
      </c>
      <c r="E409" s="2"/>
      <c r="F409" t="s">
        <v>2</v>
      </c>
      <c r="G409" s="3">
        <v>45</v>
      </c>
      <c r="H409" s="4">
        <v>25299.040000000001</v>
      </c>
      <c r="I409" t="s">
        <v>3</v>
      </c>
      <c r="J409" s="6">
        <v>1400000196</v>
      </c>
      <c r="K409" t="s">
        <v>0</v>
      </c>
      <c r="L409" s="3">
        <v>4288</v>
      </c>
      <c r="M409" s="3">
        <v>4257</v>
      </c>
      <c r="N409" t="s">
        <v>4</v>
      </c>
      <c r="O409" s="6">
        <v>1050</v>
      </c>
      <c r="P409" s="12">
        <f t="shared" si="12"/>
        <v>1111</v>
      </c>
      <c r="Q409" t="str">
        <f t="shared" si="13"/>
        <v>⑤만기경과 후 12개월 초과</v>
      </c>
    </row>
    <row r="410" spans="1:17" ht="13.95" customHeight="1" outlineLevel="3" x14ac:dyDescent="0.25">
      <c r="A410" t="s">
        <v>1</v>
      </c>
      <c r="B410" s="2">
        <v>39752</v>
      </c>
      <c r="C410" s="2">
        <v>39752</v>
      </c>
      <c r="D410" s="2">
        <v>39797</v>
      </c>
      <c r="E410" s="2"/>
      <c r="F410" t="s">
        <v>2</v>
      </c>
      <c r="G410" s="3">
        <v>45</v>
      </c>
      <c r="H410" s="4">
        <v>56900.56</v>
      </c>
      <c r="I410" t="s">
        <v>3</v>
      </c>
      <c r="J410" s="6">
        <v>1400000195</v>
      </c>
      <c r="K410" t="s">
        <v>0</v>
      </c>
      <c r="L410" s="3">
        <v>4288</v>
      </c>
      <c r="M410" s="3">
        <v>4257</v>
      </c>
      <c r="N410" t="s">
        <v>4</v>
      </c>
      <c r="O410" s="6">
        <v>1050</v>
      </c>
      <c r="P410" s="12">
        <f t="shared" si="12"/>
        <v>1111</v>
      </c>
      <c r="Q410" t="str">
        <f t="shared" si="13"/>
        <v>⑤만기경과 후 12개월 초과</v>
      </c>
    </row>
    <row r="411" spans="1:17" ht="13.95" customHeight="1" outlineLevel="3" x14ac:dyDescent="0.25">
      <c r="A411" t="s">
        <v>1</v>
      </c>
      <c r="B411" s="2">
        <v>39752</v>
      </c>
      <c r="C411" s="2">
        <v>39752</v>
      </c>
      <c r="D411" s="2">
        <v>39797</v>
      </c>
      <c r="E411" s="2"/>
      <c r="F411" t="s">
        <v>2</v>
      </c>
      <c r="G411" s="3">
        <v>45</v>
      </c>
      <c r="H411" s="4">
        <v>43503.31</v>
      </c>
      <c r="I411" t="s">
        <v>3</v>
      </c>
      <c r="J411" s="6">
        <v>1400000194</v>
      </c>
      <c r="K411" t="s">
        <v>0</v>
      </c>
      <c r="L411" s="3">
        <v>4288</v>
      </c>
      <c r="M411" s="3">
        <v>4257</v>
      </c>
      <c r="N411" t="s">
        <v>4</v>
      </c>
      <c r="O411" s="6">
        <v>1050</v>
      </c>
      <c r="P411" s="12">
        <f t="shared" si="12"/>
        <v>1111</v>
      </c>
      <c r="Q411" t="str">
        <f t="shared" si="13"/>
        <v>⑤만기경과 후 12개월 초과</v>
      </c>
    </row>
    <row r="412" spans="1:17" ht="13.95" customHeight="1" outlineLevel="3" x14ac:dyDescent="0.25">
      <c r="A412" t="s">
        <v>1</v>
      </c>
      <c r="B412" s="2">
        <v>39752</v>
      </c>
      <c r="C412" s="2">
        <v>39752</v>
      </c>
      <c r="D412" s="2">
        <v>39797</v>
      </c>
      <c r="E412" s="2"/>
      <c r="F412" t="s">
        <v>2</v>
      </c>
      <c r="G412" s="3">
        <v>45</v>
      </c>
      <c r="H412" s="4">
        <v>21684.89</v>
      </c>
      <c r="I412" t="s">
        <v>3</v>
      </c>
      <c r="J412" s="6">
        <v>1400000193</v>
      </c>
      <c r="K412" t="s">
        <v>0</v>
      </c>
      <c r="L412" s="3">
        <v>4288</v>
      </c>
      <c r="M412" s="3">
        <v>4257</v>
      </c>
      <c r="N412" t="s">
        <v>4</v>
      </c>
      <c r="O412" s="6">
        <v>1050</v>
      </c>
      <c r="P412" s="12">
        <f t="shared" si="12"/>
        <v>1111</v>
      </c>
      <c r="Q412" t="str">
        <f t="shared" si="13"/>
        <v>⑤만기경과 후 12개월 초과</v>
      </c>
    </row>
    <row r="413" spans="1:17" ht="13.95" customHeight="1" outlineLevel="3" x14ac:dyDescent="0.25">
      <c r="A413" t="s">
        <v>1</v>
      </c>
      <c r="B413" s="2">
        <v>39447</v>
      </c>
      <c r="C413" s="2">
        <v>39447</v>
      </c>
      <c r="D413" s="2">
        <v>39447</v>
      </c>
      <c r="E413" s="2"/>
      <c r="F413" t="s">
        <v>2</v>
      </c>
      <c r="G413" s="3">
        <v>45</v>
      </c>
      <c r="H413" s="4">
        <v>-2135.6</v>
      </c>
      <c r="I413" t="s">
        <v>3</v>
      </c>
      <c r="J413" s="6">
        <v>1400000235</v>
      </c>
      <c r="K413" t="s">
        <v>0</v>
      </c>
      <c r="L413" s="3">
        <v>4607</v>
      </c>
      <c r="M413" s="3">
        <v>4607</v>
      </c>
      <c r="N413" t="s">
        <v>4</v>
      </c>
      <c r="O413" s="6">
        <v>1050</v>
      </c>
      <c r="P413" s="12">
        <f t="shared" si="12"/>
        <v>1461</v>
      </c>
      <c r="Q413" t="str">
        <f t="shared" si="13"/>
        <v>⑤만기경과 후 12개월 초과</v>
      </c>
    </row>
    <row r="414" spans="1:17" ht="13.95" customHeight="1" outlineLevel="3" x14ac:dyDescent="0.25">
      <c r="A414" t="s">
        <v>1</v>
      </c>
      <c r="B414" s="2">
        <v>39416</v>
      </c>
      <c r="C414" s="2">
        <v>39416</v>
      </c>
      <c r="D414" s="2">
        <v>39416</v>
      </c>
      <c r="E414" s="2"/>
      <c r="F414" t="s">
        <v>2</v>
      </c>
      <c r="G414" s="3">
        <v>45</v>
      </c>
      <c r="H414" s="4">
        <v>-2302.81</v>
      </c>
      <c r="I414" t="s">
        <v>3</v>
      </c>
      <c r="J414" s="6">
        <v>1400000234</v>
      </c>
      <c r="K414" t="s">
        <v>0</v>
      </c>
      <c r="L414" s="3">
        <v>4638</v>
      </c>
      <c r="M414" s="3">
        <v>4638</v>
      </c>
      <c r="N414" t="s">
        <v>4</v>
      </c>
      <c r="O414" s="6">
        <v>1050</v>
      </c>
      <c r="P414" s="12">
        <f t="shared" si="12"/>
        <v>1492</v>
      </c>
      <c r="Q414" t="str">
        <f t="shared" si="13"/>
        <v>⑤만기경과 후 12개월 초과</v>
      </c>
    </row>
    <row r="415" spans="1:17" ht="13.95" customHeight="1" outlineLevel="3" x14ac:dyDescent="0.25">
      <c r="A415" t="s">
        <v>1</v>
      </c>
      <c r="B415" s="2">
        <v>38656</v>
      </c>
      <c r="C415" s="2">
        <v>38656</v>
      </c>
      <c r="D415" s="2">
        <v>38656</v>
      </c>
      <c r="E415" s="2"/>
      <c r="F415" t="s">
        <v>2</v>
      </c>
      <c r="G415" s="3">
        <v>45</v>
      </c>
      <c r="H415" s="4">
        <v>-7505.26</v>
      </c>
      <c r="I415" t="s">
        <v>3</v>
      </c>
      <c r="J415" s="6">
        <v>1400000293</v>
      </c>
      <c r="K415" t="s">
        <v>0</v>
      </c>
      <c r="L415" s="3">
        <v>5398</v>
      </c>
      <c r="M415" s="3">
        <v>5398</v>
      </c>
      <c r="N415" t="s">
        <v>4</v>
      </c>
      <c r="O415" s="6">
        <v>1050</v>
      </c>
      <c r="P415" s="12">
        <f t="shared" si="12"/>
        <v>2252</v>
      </c>
      <c r="Q415" t="str">
        <f t="shared" si="13"/>
        <v>⑤만기경과 후 12개월 초과</v>
      </c>
    </row>
    <row r="416" spans="1:17" ht="13.95" customHeight="1" outlineLevel="3" x14ac:dyDescent="0.25">
      <c r="A416" t="s">
        <v>1</v>
      </c>
      <c r="B416" s="2">
        <v>38625</v>
      </c>
      <c r="C416" s="2">
        <v>38625</v>
      </c>
      <c r="D416" s="2">
        <v>38625</v>
      </c>
      <c r="E416" s="2"/>
      <c r="F416" t="s">
        <v>2</v>
      </c>
      <c r="G416" s="3">
        <v>45</v>
      </c>
      <c r="H416" s="4">
        <v>-6251.33</v>
      </c>
      <c r="I416" t="s">
        <v>3</v>
      </c>
      <c r="J416" s="6">
        <v>1400000292</v>
      </c>
      <c r="K416" t="s">
        <v>0</v>
      </c>
      <c r="L416" s="3">
        <v>5429</v>
      </c>
      <c r="M416" s="3">
        <v>5429</v>
      </c>
      <c r="N416" t="s">
        <v>4</v>
      </c>
      <c r="O416" s="6">
        <v>1050</v>
      </c>
      <c r="P416" s="12">
        <f t="shared" si="12"/>
        <v>2283</v>
      </c>
      <c r="Q416" t="str">
        <f t="shared" si="13"/>
        <v>⑤만기경과 후 12개월 초과</v>
      </c>
    </row>
    <row r="417" spans="1:17" ht="13.95" customHeight="1" outlineLevel="3" x14ac:dyDescent="0.25">
      <c r="A417" t="s">
        <v>1</v>
      </c>
      <c r="B417" s="2">
        <v>38595</v>
      </c>
      <c r="C417" s="2">
        <v>38595</v>
      </c>
      <c r="D417" s="2">
        <v>38595</v>
      </c>
      <c r="E417" s="2"/>
      <c r="F417" t="s">
        <v>2</v>
      </c>
      <c r="G417" s="3">
        <v>45</v>
      </c>
      <c r="H417" s="4">
        <v>-7111.2</v>
      </c>
      <c r="I417" t="s">
        <v>3</v>
      </c>
      <c r="J417" s="6">
        <v>1400000291</v>
      </c>
      <c r="K417" t="s">
        <v>0</v>
      </c>
      <c r="L417" s="3">
        <v>5459</v>
      </c>
      <c r="M417" s="3">
        <v>5459</v>
      </c>
      <c r="N417" t="s">
        <v>4</v>
      </c>
      <c r="O417" s="6">
        <v>1050</v>
      </c>
      <c r="P417" s="12">
        <f t="shared" si="12"/>
        <v>2313</v>
      </c>
      <c r="Q417" t="str">
        <f t="shared" si="13"/>
        <v>⑤만기경과 후 12개월 초과</v>
      </c>
    </row>
    <row r="418" spans="1:17" ht="13.95" customHeight="1" outlineLevel="3" x14ac:dyDescent="0.25">
      <c r="A418" t="s">
        <v>1</v>
      </c>
      <c r="B418" s="2">
        <v>38564</v>
      </c>
      <c r="C418" s="2">
        <v>38564</v>
      </c>
      <c r="D418" s="2">
        <v>38564</v>
      </c>
      <c r="E418" s="2"/>
      <c r="F418" t="s">
        <v>2</v>
      </c>
      <c r="G418" s="3">
        <v>45</v>
      </c>
      <c r="H418" s="4">
        <v>-2290.94</v>
      </c>
      <c r="I418" t="s">
        <v>3</v>
      </c>
      <c r="J418" s="6">
        <v>1400000290</v>
      </c>
      <c r="K418" t="s">
        <v>0</v>
      </c>
      <c r="L418" s="3">
        <v>5490</v>
      </c>
      <c r="M418" s="3">
        <v>5490</v>
      </c>
      <c r="N418" t="s">
        <v>4</v>
      </c>
      <c r="O418" s="6">
        <v>1050</v>
      </c>
      <c r="P418" s="12">
        <f t="shared" si="12"/>
        <v>2344</v>
      </c>
      <c r="Q418" t="str">
        <f t="shared" si="13"/>
        <v>⑤만기경과 후 12개월 초과</v>
      </c>
    </row>
    <row r="419" spans="1:17" ht="13.95" customHeight="1" outlineLevel="3" x14ac:dyDescent="0.25">
      <c r="A419" t="s">
        <v>1</v>
      </c>
      <c r="B419" s="2">
        <v>38533</v>
      </c>
      <c r="C419" s="2">
        <v>38533</v>
      </c>
      <c r="D419" s="2">
        <v>38533</v>
      </c>
      <c r="E419" s="2"/>
      <c r="F419" t="s">
        <v>2</v>
      </c>
      <c r="G419" s="3">
        <v>45</v>
      </c>
      <c r="H419" s="4">
        <v>-5449.85</v>
      </c>
      <c r="I419" t="s">
        <v>3</v>
      </c>
      <c r="J419" s="6">
        <v>1400000289</v>
      </c>
      <c r="K419" t="s">
        <v>0</v>
      </c>
      <c r="L419" s="3">
        <v>5521</v>
      </c>
      <c r="M419" s="3">
        <v>5521</v>
      </c>
      <c r="N419" t="s">
        <v>4</v>
      </c>
      <c r="O419" s="6">
        <v>1050</v>
      </c>
      <c r="P419" s="12">
        <f t="shared" si="12"/>
        <v>2375</v>
      </c>
      <c r="Q419" t="str">
        <f t="shared" si="13"/>
        <v>⑤만기경과 후 12개월 초과</v>
      </c>
    </row>
    <row r="420" spans="1:17" ht="13.95" customHeight="1" outlineLevel="3" x14ac:dyDescent="0.25">
      <c r="A420" t="s">
        <v>1</v>
      </c>
      <c r="B420" s="2">
        <v>38472</v>
      </c>
      <c r="C420" s="2">
        <v>38472</v>
      </c>
      <c r="D420" s="2">
        <v>38472</v>
      </c>
      <c r="E420" s="2"/>
      <c r="F420" t="s">
        <v>2</v>
      </c>
      <c r="G420" s="3">
        <v>45</v>
      </c>
      <c r="H420" s="4">
        <v>-1336.39</v>
      </c>
      <c r="I420" t="s">
        <v>3</v>
      </c>
      <c r="J420" s="6">
        <v>1400000288</v>
      </c>
      <c r="K420" t="s">
        <v>0</v>
      </c>
      <c r="L420" s="3">
        <v>5582</v>
      </c>
      <c r="M420" s="3">
        <v>5582</v>
      </c>
      <c r="N420" t="s">
        <v>4</v>
      </c>
      <c r="O420" s="6">
        <v>1050</v>
      </c>
      <c r="P420" s="12">
        <f t="shared" si="12"/>
        <v>2436</v>
      </c>
      <c r="Q420" t="str">
        <f t="shared" si="13"/>
        <v>⑤만기경과 후 12개월 초과</v>
      </c>
    </row>
    <row r="421" spans="1:17" ht="13.95" customHeight="1" outlineLevel="3" x14ac:dyDescent="0.25">
      <c r="A421" t="s">
        <v>1</v>
      </c>
      <c r="B421" s="2">
        <v>38442</v>
      </c>
      <c r="C421" s="2">
        <v>38442</v>
      </c>
      <c r="D421" s="2">
        <v>38442</v>
      </c>
      <c r="E421" s="2"/>
      <c r="F421" t="s">
        <v>2</v>
      </c>
      <c r="G421" s="3">
        <v>45</v>
      </c>
      <c r="H421" s="4">
        <v>-1069.71</v>
      </c>
      <c r="I421" t="s">
        <v>3</v>
      </c>
      <c r="J421" s="6">
        <v>1400000287</v>
      </c>
      <c r="K421" t="s">
        <v>0</v>
      </c>
      <c r="L421" s="3">
        <v>5612</v>
      </c>
      <c r="M421" s="3">
        <v>5612</v>
      </c>
      <c r="N421" t="s">
        <v>4</v>
      </c>
      <c r="O421" s="6">
        <v>1050</v>
      </c>
      <c r="P421" s="12">
        <f t="shared" si="12"/>
        <v>2466</v>
      </c>
      <c r="Q421" t="str">
        <f t="shared" si="13"/>
        <v>⑤만기경과 후 12개월 초과</v>
      </c>
    </row>
    <row r="422" spans="1:17" ht="13.95" customHeight="1" outlineLevel="3" x14ac:dyDescent="0.25">
      <c r="A422" t="s">
        <v>1</v>
      </c>
      <c r="B422" s="2">
        <v>38383</v>
      </c>
      <c r="C422" s="2">
        <v>38383</v>
      </c>
      <c r="D422" s="2">
        <v>38383</v>
      </c>
      <c r="E422" s="2"/>
      <c r="F422" t="s">
        <v>2</v>
      </c>
      <c r="G422" s="3">
        <v>45</v>
      </c>
      <c r="H422" s="4">
        <v>-5945.58</v>
      </c>
      <c r="I422" t="s">
        <v>3</v>
      </c>
      <c r="J422" s="6">
        <v>1400000286</v>
      </c>
      <c r="K422" t="s">
        <v>0</v>
      </c>
      <c r="L422" s="3">
        <v>5671</v>
      </c>
      <c r="M422" s="3">
        <v>5671</v>
      </c>
      <c r="N422" t="s">
        <v>4</v>
      </c>
      <c r="O422" s="6">
        <v>1050</v>
      </c>
      <c r="P422" s="12">
        <f t="shared" si="12"/>
        <v>2525</v>
      </c>
      <c r="Q422" t="str">
        <f t="shared" si="13"/>
        <v>⑤만기경과 후 12개월 초과</v>
      </c>
    </row>
    <row r="423" spans="1:17" ht="13.95" customHeight="1" outlineLevel="3" x14ac:dyDescent="0.25">
      <c r="A423" t="s">
        <v>1</v>
      </c>
      <c r="B423" s="2">
        <v>39813</v>
      </c>
      <c r="C423" s="2">
        <v>39813</v>
      </c>
      <c r="D423" s="2">
        <v>39858</v>
      </c>
      <c r="E423" s="2"/>
      <c r="F423" t="s">
        <v>2</v>
      </c>
      <c r="G423" s="3">
        <v>45</v>
      </c>
      <c r="H423" s="4">
        <v>32527.34</v>
      </c>
      <c r="I423" t="s">
        <v>3</v>
      </c>
      <c r="J423" s="6">
        <v>1400000231</v>
      </c>
      <c r="K423" t="s">
        <v>0</v>
      </c>
      <c r="L423" s="3">
        <v>4227</v>
      </c>
      <c r="M423" s="3">
        <v>4196</v>
      </c>
      <c r="N423" t="s">
        <v>4</v>
      </c>
      <c r="O423" s="6">
        <v>1050</v>
      </c>
      <c r="P423" s="12">
        <f t="shared" si="12"/>
        <v>1050</v>
      </c>
      <c r="Q423" t="str">
        <f t="shared" si="13"/>
        <v>⑤만기경과 후 12개월 초과</v>
      </c>
    </row>
    <row r="424" spans="1:17" ht="13.95" customHeight="1" outlineLevel="3" x14ac:dyDescent="0.25">
      <c r="A424" t="s">
        <v>1</v>
      </c>
      <c r="B424" s="2">
        <v>39903</v>
      </c>
      <c r="C424" s="2">
        <v>39903</v>
      </c>
      <c r="D424" s="2">
        <v>39948</v>
      </c>
      <c r="E424" s="2"/>
      <c r="F424" t="s">
        <v>2</v>
      </c>
      <c r="G424" s="3">
        <v>45</v>
      </c>
      <c r="H424" s="4">
        <v>35593.61</v>
      </c>
      <c r="I424" t="s">
        <v>3</v>
      </c>
      <c r="J424" s="6">
        <v>1400000055</v>
      </c>
      <c r="K424" t="s">
        <v>0</v>
      </c>
      <c r="L424" s="3">
        <v>4137</v>
      </c>
      <c r="M424" s="3">
        <v>4106</v>
      </c>
      <c r="N424" t="s">
        <v>4</v>
      </c>
      <c r="O424" s="6">
        <v>1050</v>
      </c>
      <c r="P424" s="12">
        <f t="shared" si="12"/>
        <v>960</v>
      </c>
      <c r="Q424" t="str">
        <f t="shared" si="13"/>
        <v>⑤만기경과 후 12개월 초과</v>
      </c>
    </row>
    <row r="425" spans="1:17" ht="13.95" customHeight="1" outlineLevel="3" x14ac:dyDescent="0.25">
      <c r="A425" t="s">
        <v>1</v>
      </c>
      <c r="B425" s="2">
        <v>39903</v>
      </c>
      <c r="C425" s="2">
        <v>39903</v>
      </c>
      <c r="D425" s="2">
        <v>39948</v>
      </c>
      <c r="E425" s="2"/>
      <c r="F425" t="s">
        <v>2</v>
      </c>
      <c r="G425" s="3">
        <v>45</v>
      </c>
      <c r="H425" s="4">
        <v>39755.64</v>
      </c>
      <c r="I425" t="s">
        <v>3</v>
      </c>
      <c r="J425" s="6">
        <v>1400000054</v>
      </c>
      <c r="K425" t="s">
        <v>0</v>
      </c>
      <c r="L425" s="3">
        <v>4137</v>
      </c>
      <c r="M425" s="3">
        <v>4106</v>
      </c>
      <c r="N425" t="s">
        <v>4</v>
      </c>
      <c r="O425" s="6">
        <v>1050</v>
      </c>
      <c r="P425" s="12">
        <f t="shared" si="12"/>
        <v>960</v>
      </c>
      <c r="Q425" t="str">
        <f t="shared" si="13"/>
        <v>⑤만기경과 후 12개월 초과</v>
      </c>
    </row>
    <row r="426" spans="1:17" ht="13.95" customHeight="1" outlineLevel="3" x14ac:dyDescent="0.25">
      <c r="A426" t="s">
        <v>1</v>
      </c>
      <c r="B426" s="2">
        <v>39903</v>
      </c>
      <c r="C426" s="2">
        <v>39903</v>
      </c>
      <c r="D426" s="2">
        <v>39948</v>
      </c>
      <c r="E426" s="2"/>
      <c r="F426" t="s">
        <v>2</v>
      </c>
      <c r="G426" s="3">
        <v>45</v>
      </c>
      <c r="H426" s="4">
        <v>28450.28</v>
      </c>
      <c r="I426" t="s">
        <v>3</v>
      </c>
      <c r="J426" s="6">
        <v>1400000053</v>
      </c>
      <c r="K426" t="s">
        <v>0</v>
      </c>
      <c r="L426" s="3">
        <v>4137</v>
      </c>
      <c r="M426" s="3">
        <v>4106</v>
      </c>
      <c r="N426" t="s">
        <v>4</v>
      </c>
      <c r="O426" s="6">
        <v>1050</v>
      </c>
      <c r="P426" s="12">
        <f t="shared" si="12"/>
        <v>960</v>
      </c>
      <c r="Q426" t="str">
        <f t="shared" si="13"/>
        <v>⑤만기경과 후 12개월 초과</v>
      </c>
    </row>
    <row r="427" spans="1:17" ht="13.95" customHeight="1" outlineLevel="3" x14ac:dyDescent="0.25">
      <c r="A427" t="s">
        <v>1</v>
      </c>
      <c r="B427" s="2">
        <v>39903</v>
      </c>
      <c r="C427" s="2">
        <v>39903</v>
      </c>
      <c r="D427" s="2">
        <v>39948</v>
      </c>
      <c r="E427" s="2"/>
      <c r="F427" t="s">
        <v>2</v>
      </c>
      <c r="G427" s="3">
        <v>45</v>
      </c>
      <c r="H427" s="4">
        <v>31638.77</v>
      </c>
      <c r="I427" t="s">
        <v>3</v>
      </c>
      <c r="J427" s="6">
        <v>1400000052</v>
      </c>
      <c r="K427" t="s">
        <v>0</v>
      </c>
      <c r="L427" s="3">
        <v>4137</v>
      </c>
      <c r="M427" s="3">
        <v>4106</v>
      </c>
      <c r="N427" t="s">
        <v>4</v>
      </c>
      <c r="O427" s="6">
        <v>1050</v>
      </c>
      <c r="P427" s="12">
        <f t="shared" si="12"/>
        <v>960</v>
      </c>
      <c r="Q427" t="str">
        <f t="shared" si="13"/>
        <v>⑤만기경과 후 12개월 초과</v>
      </c>
    </row>
    <row r="428" spans="1:17" ht="13.95" customHeight="1" outlineLevel="3" x14ac:dyDescent="0.25">
      <c r="A428" t="s">
        <v>1</v>
      </c>
      <c r="B428" s="2">
        <v>39903</v>
      </c>
      <c r="C428" s="2">
        <v>39903</v>
      </c>
      <c r="D428" s="2">
        <v>39948</v>
      </c>
      <c r="E428" s="2"/>
      <c r="F428" t="s">
        <v>2</v>
      </c>
      <c r="G428" s="3">
        <v>45</v>
      </c>
      <c r="H428" s="4">
        <v>46983.94</v>
      </c>
      <c r="I428" t="s">
        <v>3</v>
      </c>
      <c r="J428" s="6">
        <v>1400000051</v>
      </c>
      <c r="K428" t="s">
        <v>0</v>
      </c>
      <c r="L428" s="3">
        <v>4137</v>
      </c>
      <c r="M428" s="3">
        <v>4106</v>
      </c>
      <c r="N428" t="s">
        <v>4</v>
      </c>
      <c r="O428" s="6">
        <v>1050</v>
      </c>
      <c r="P428" s="12">
        <f t="shared" si="12"/>
        <v>960</v>
      </c>
      <c r="Q428" t="str">
        <f t="shared" si="13"/>
        <v>⑤만기경과 후 12개월 초과</v>
      </c>
    </row>
    <row r="429" spans="1:17" ht="13.95" customHeight="1" outlineLevel="3" x14ac:dyDescent="0.25">
      <c r="A429" t="s">
        <v>1</v>
      </c>
      <c r="B429" s="2">
        <v>39872</v>
      </c>
      <c r="C429" s="2">
        <v>39872</v>
      </c>
      <c r="D429" s="2">
        <v>39917</v>
      </c>
      <c r="E429" s="2"/>
      <c r="F429" t="s">
        <v>2</v>
      </c>
      <c r="G429" s="3">
        <v>45</v>
      </c>
      <c r="H429" s="4">
        <v>40643.26</v>
      </c>
      <c r="I429" t="s">
        <v>3</v>
      </c>
      <c r="J429" s="6">
        <v>1400000037</v>
      </c>
      <c r="K429" t="s">
        <v>0</v>
      </c>
      <c r="L429" s="3">
        <v>4168</v>
      </c>
      <c r="M429" s="3">
        <v>4137</v>
      </c>
      <c r="N429" t="s">
        <v>4</v>
      </c>
      <c r="O429" s="6">
        <v>1050</v>
      </c>
      <c r="P429" s="12">
        <f t="shared" si="12"/>
        <v>991</v>
      </c>
      <c r="Q429" t="str">
        <f t="shared" si="13"/>
        <v>⑤만기경과 후 12개월 초과</v>
      </c>
    </row>
    <row r="430" spans="1:17" ht="13.95" customHeight="1" outlineLevel="3" x14ac:dyDescent="0.25">
      <c r="A430" t="s">
        <v>1</v>
      </c>
      <c r="B430" s="2">
        <v>39872</v>
      </c>
      <c r="C430" s="2">
        <v>39872</v>
      </c>
      <c r="D430" s="2">
        <v>39917</v>
      </c>
      <c r="E430" s="2"/>
      <c r="F430" t="s">
        <v>2</v>
      </c>
      <c r="G430" s="3">
        <v>45</v>
      </c>
      <c r="H430" s="4">
        <v>31638.77</v>
      </c>
      <c r="I430" t="s">
        <v>3</v>
      </c>
      <c r="J430" s="6">
        <v>1400000036</v>
      </c>
      <c r="K430" t="s">
        <v>0</v>
      </c>
      <c r="L430" s="3">
        <v>4168</v>
      </c>
      <c r="M430" s="3">
        <v>4137</v>
      </c>
      <c r="N430" t="s">
        <v>4</v>
      </c>
      <c r="O430" s="6">
        <v>1050</v>
      </c>
      <c r="P430" s="12">
        <f t="shared" si="12"/>
        <v>991</v>
      </c>
      <c r="Q430" t="str">
        <f t="shared" si="13"/>
        <v>⑤만기경과 후 12개월 초과</v>
      </c>
    </row>
    <row r="431" spans="1:17" ht="13.95" customHeight="1" outlineLevel="3" x14ac:dyDescent="0.25">
      <c r="A431" t="s">
        <v>1</v>
      </c>
      <c r="B431" s="2">
        <v>39872</v>
      </c>
      <c r="C431" s="2">
        <v>39872</v>
      </c>
      <c r="D431" s="2">
        <v>39917</v>
      </c>
      <c r="E431" s="2"/>
      <c r="F431" t="s">
        <v>2</v>
      </c>
      <c r="G431" s="3">
        <v>45</v>
      </c>
      <c r="H431" s="4">
        <v>43369.79</v>
      </c>
      <c r="I431" t="s">
        <v>3</v>
      </c>
      <c r="J431" s="6">
        <v>1400000035</v>
      </c>
      <c r="K431" t="s">
        <v>0</v>
      </c>
      <c r="L431" s="3">
        <v>4168</v>
      </c>
      <c r="M431" s="3">
        <v>4137</v>
      </c>
      <c r="N431" t="s">
        <v>4</v>
      </c>
      <c r="O431" s="6">
        <v>1050</v>
      </c>
      <c r="P431" s="12">
        <f t="shared" si="12"/>
        <v>991</v>
      </c>
      <c r="Q431" t="str">
        <f t="shared" si="13"/>
        <v>⑤만기경과 후 12개월 초과</v>
      </c>
    </row>
    <row r="432" spans="1:17" ht="13.95" customHeight="1" outlineLevel="3" x14ac:dyDescent="0.25">
      <c r="A432" t="s">
        <v>1</v>
      </c>
      <c r="B432" s="2">
        <v>39872</v>
      </c>
      <c r="C432" s="2">
        <v>39872</v>
      </c>
      <c r="D432" s="2">
        <v>39917</v>
      </c>
      <c r="E432" s="2"/>
      <c r="F432" t="s">
        <v>2</v>
      </c>
      <c r="G432" s="3">
        <v>45</v>
      </c>
      <c r="H432" s="4">
        <v>36578.93</v>
      </c>
      <c r="I432" t="s">
        <v>3</v>
      </c>
      <c r="J432" s="6">
        <v>1400000034</v>
      </c>
      <c r="K432" t="s">
        <v>0</v>
      </c>
      <c r="L432" s="3">
        <v>4168</v>
      </c>
      <c r="M432" s="3">
        <v>4137</v>
      </c>
      <c r="N432" t="s">
        <v>4</v>
      </c>
      <c r="O432" s="6">
        <v>1050</v>
      </c>
      <c r="P432" s="12">
        <f t="shared" si="12"/>
        <v>991</v>
      </c>
      <c r="Q432" t="str">
        <f t="shared" si="13"/>
        <v>⑤만기경과 후 12개월 초과</v>
      </c>
    </row>
    <row r="433" spans="1:17" ht="13.95" customHeight="1" outlineLevel="3" x14ac:dyDescent="0.25">
      <c r="A433" t="s">
        <v>1</v>
      </c>
      <c r="B433" s="2">
        <v>39872</v>
      </c>
      <c r="C433" s="2">
        <v>39872</v>
      </c>
      <c r="D433" s="2">
        <v>39917</v>
      </c>
      <c r="E433" s="2"/>
      <c r="F433" t="s">
        <v>2</v>
      </c>
      <c r="G433" s="3">
        <v>45</v>
      </c>
      <c r="H433" s="4">
        <v>23729.08</v>
      </c>
      <c r="I433" t="s">
        <v>3</v>
      </c>
      <c r="J433" s="6">
        <v>1400000033</v>
      </c>
      <c r="K433" t="s">
        <v>0</v>
      </c>
      <c r="L433" s="3">
        <v>4168</v>
      </c>
      <c r="M433" s="3">
        <v>4137</v>
      </c>
      <c r="N433" t="s">
        <v>4</v>
      </c>
      <c r="O433" s="6">
        <v>1050</v>
      </c>
      <c r="P433" s="12">
        <f t="shared" si="12"/>
        <v>991</v>
      </c>
      <c r="Q433" t="str">
        <f t="shared" si="13"/>
        <v>⑤만기경과 후 12개월 초과</v>
      </c>
    </row>
    <row r="434" spans="1:17" ht="13.95" customHeight="1" outlineLevel="3" x14ac:dyDescent="0.25">
      <c r="A434" t="s">
        <v>1</v>
      </c>
      <c r="B434" s="2">
        <v>39872</v>
      </c>
      <c r="C434" s="2">
        <v>39872</v>
      </c>
      <c r="D434" s="2">
        <v>39917</v>
      </c>
      <c r="E434" s="2"/>
      <c r="F434" t="s">
        <v>2</v>
      </c>
      <c r="G434" s="3">
        <v>45</v>
      </c>
      <c r="H434" s="4">
        <v>50598.09</v>
      </c>
      <c r="I434" t="s">
        <v>3</v>
      </c>
      <c r="J434" s="6">
        <v>1400000032</v>
      </c>
      <c r="K434" t="s">
        <v>0</v>
      </c>
      <c r="L434" s="3">
        <v>4168</v>
      </c>
      <c r="M434" s="3">
        <v>4137</v>
      </c>
      <c r="N434" t="s">
        <v>4</v>
      </c>
      <c r="O434" s="6">
        <v>1050</v>
      </c>
      <c r="P434" s="12">
        <f t="shared" si="12"/>
        <v>991</v>
      </c>
      <c r="Q434" t="str">
        <f t="shared" si="13"/>
        <v>⑤만기경과 후 12개월 초과</v>
      </c>
    </row>
    <row r="435" spans="1:17" ht="13.95" customHeight="1" outlineLevel="3" x14ac:dyDescent="0.25">
      <c r="A435" t="s">
        <v>1</v>
      </c>
      <c r="B435" s="2">
        <v>39844</v>
      </c>
      <c r="C435" s="2">
        <v>39844</v>
      </c>
      <c r="D435" s="2">
        <v>39889</v>
      </c>
      <c r="E435" s="2"/>
      <c r="F435" t="s">
        <v>2</v>
      </c>
      <c r="G435" s="3">
        <v>45</v>
      </c>
      <c r="H435" s="4">
        <v>36578.93</v>
      </c>
      <c r="I435" t="s">
        <v>3</v>
      </c>
      <c r="J435" s="6">
        <v>1400000018</v>
      </c>
      <c r="K435" t="s">
        <v>0</v>
      </c>
      <c r="L435" s="3">
        <v>4196</v>
      </c>
      <c r="M435" s="3">
        <v>4165</v>
      </c>
      <c r="N435" t="s">
        <v>4</v>
      </c>
      <c r="O435" s="6">
        <v>1050</v>
      </c>
      <c r="P435" s="12">
        <f t="shared" si="12"/>
        <v>1019</v>
      </c>
      <c r="Q435" t="str">
        <f t="shared" si="13"/>
        <v>⑤만기경과 후 12개월 초과</v>
      </c>
    </row>
    <row r="436" spans="1:17" ht="13.95" customHeight="1" outlineLevel="3" x14ac:dyDescent="0.25">
      <c r="A436" t="s">
        <v>1</v>
      </c>
      <c r="B436" s="2">
        <v>39844</v>
      </c>
      <c r="C436" s="2">
        <v>39844</v>
      </c>
      <c r="D436" s="2">
        <v>39889</v>
      </c>
      <c r="E436" s="2"/>
      <c r="F436" t="s">
        <v>2</v>
      </c>
      <c r="G436" s="3">
        <v>45</v>
      </c>
      <c r="H436" s="4">
        <v>27683.919999999998</v>
      </c>
      <c r="I436" t="s">
        <v>3</v>
      </c>
      <c r="J436" s="6">
        <v>1400000017</v>
      </c>
      <c r="K436" t="s">
        <v>0</v>
      </c>
      <c r="L436" s="3">
        <v>4196</v>
      </c>
      <c r="M436" s="3">
        <v>4165</v>
      </c>
      <c r="N436" t="s">
        <v>4</v>
      </c>
      <c r="O436" s="6">
        <v>1050</v>
      </c>
      <c r="P436" s="12">
        <f t="shared" si="12"/>
        <v>1019</v>
      </c>
      <c r="Q436" t="str">
        <f t="shared" si="13"/>
        <v>⑤만기경과 후 12개월 초과</v>
      </c>
    </row>
    <row r="437" spans="1:17" ht="13.95" customHeight="1" outlineLevel="3" x14ac:dyDescent="0.25">
      <c r="A437" t="s">
        <v>1</v>
      </c>
      <c r="B437" s="2">
        <v>39844</v>
      </c>
      <c r="C437" s="2">
        <v>39844</v>
      </c>
      <c r="D437" s="2">
        <v>39889</v>
      </c>
      <c r="E437" s="2"/>
      <c r="F437" t="s">
        <v>2</v>
      </c>
      <c r="G437" s="3">
        <v>45</v>
      </c>
      <c r="H437" s="4">
        <v>39755.64</v>
      </c>
      <c r="I437" t="s">
        <v>3</v>
      </c>
      <c r="J437" s="6">
        <v>1400000016</v>
      </c>
      <c r="K437" t="s">
        <v>0</v>
      </c>
      <c r="L437" s="3">
        <v>4196</v>
      </c>
      <c r="M437" s="3">
        <v>4165</v>
      </c>
      <c r="N437" t="s">
        <v>4</v>
      </c>
      <c r="O437" s="6">
        <v>1050</v>
      </c>
      <c r="P437" s="12">
        <f t="shared" si="12"/>
        <v>1019</v>
      </c>
      <c r="Q437" t="str">
        <f t="shared" si="13"/>
        <v>⑤만기경과 후 12개월 초과</v>
      </c>
    </row>
    <row r="438" spans="1:17" ht="13.95" customHeight="1" outlineLevel="3" x14ac:dyDescent="0.25">
      <c r="A438" t="s">
        <v>1</v>
      </c>
      <c r="B438" s="2">
        <v>39844</v>
      </c>
      <c r="C438" s="2">
        <v>39844</v>
      </c>
      <c r="D438" s="2">
        <v>39889</v>
      </c>
      <c r="E438" s="2"/>
      <c r="F438" t="s">
        <v>2</v>
      </c>
      <c r="G438" s="3">
        <v>45</v>
      </c>
      <c r="H438" s="4">
        <v>40643.26</v>
      </c>
      <c r="I438" t="s">
        <v>3</v>
      </c>
      <c r="J438" s="6">
        <v>1400000015</v>
      </c>
      <c r="K438" t="s">
        <v>0</v>
      </c>
      <c r="L438" s="3">
        <v>4196</v>
      </c>
      <c r="M438" s="3">
        <v>4165</v>
      </c>
      <c r="N438" t="s">
        <v>4</v>
      </c>
      <c r="O438" s="6">
        <v>1050</v>
      </c>
      <c r="P438" s="12">
        <f t="shared" si="12"/>
        <v>1019</v>
      </c>
      <c r="Q438" t="str">
        <f t="shared" si="13"/>
        <v>⑤만기경과 후 12개월 초과</v>
      </c>
    </row>
    <row r="439" spans="1:17" ht="13.95" customHeight="1" outlineLevel="3" x14ac:dyDescent="0.25">
      <c r="A439" t="s">
        <v>1</v>
      </c>
      <c r="B439" s="2">
        <v>39844</v>
      </c>
      <c r="C439" s="2">
        <v>39844</v>
      </c>
      <c r="D439" s="2">
        <v>39889</v>
      </c>
      <c r="E439" s="2"/>
      <c r="F439" t="s">
        <v>2</v>
      </c>
      <c r="G439" s="3">
        <v>45</v>
      </c>
      <c r="H439" s="4">
        <v>23729.08</v>
      </c>
      <c r="I439" t="s">
        <v>3</v>
      </c>
      <c r="J439" s="6">
        <v>1400000014</v>
      </c>
      <c r="K439" t="s">
        <v>0</v>
      </c>
      <c r="L439" s="3">
        <v>4196</v>
      </c>
      <c r="M439" s="3">
        <v>4165</v>
      </c>
      <c r="N439" t="s">
        <v>4</v>
      </c>
      <c r="O439" s="6">
        <v>1050</v>
      </c>
      <c r="P439" s="12">
        <f t="shared" si="12"/>
        <v>1019</v>
      </c>
      <c r="Q439" t="str">
        <f t="shared" si="13"/>
        <v>⑤만기경과 후 12개월 초과</v>
      </c>
    </row>
    <row r="440" spans="1:17" ht="13.95" customHeight="1" outlineLevel="3" x14ac:dyDescent="0.25">
      <c r="A440" t="s">
        <v>1</v>
      </c>
      <c r="B440" s="2">
        <v>39844</v>
      </c>
      <c r="C440" s="2">
        <v>39844</v>
      </c>
      <c r="D440" s="2">
        <v>39889</v>
      </c>
      <c r="E440" s="2"/>
      <c r="F440" t="s">
        <v>2</v>
      </c>
      <c r="G440" s="3">
        <v>45</v>
      </c>
      <c r="H440" s="4">
        <v>36141.49</v>
      </c>
      <c r="I440" t="s">
        <v>3</v>
      </c>
      <c r="J440" s="6">
        <v>1400000013</v>
      </c>
      <c r="K440" t="s">
        <v>0</v>
      </c>
      <c r="L440" s="3">
        <v>4196</v>
      </c>
      <c r="M440" s="3">
        <v>4165</v>
      </c>
      <c r="N440" t="s">
        <v>4</v>
      </c>
      <c r="O440" s="6">
        <v>1050</v>
      </c>
      <c r="P440" s="12">
        <f t="shared" si="12"/>
        <v>1019</v>
      </c>
      <c r="Q440" t="str">
        <f t="shared" si="13"/>
        <v>⑤만기경과 후 12개월 초과</v>
      </c>
    </row>
    <row r="441" spans="1:17" ht="13.95" customHeight="1" outlineLevel="3" x14ac:dyDescent="0.25">
      <c r="A441" t="s">
        <v>1</v>
      </c>
      <c r="B441" s="2">
        <v>39813</v>
      </c>
      <c r="C441" s="2">
        <v>39813</v>
      </c>
      <c r="D441" s="2">
        <v>39858</v>
      </c>
      <c r="E441" s="2"/>
      <c r="F441" t="s">
        <v>2</v>
      </c>
      <c r="G441" s="3">
        <v>45</v>
      </c>
      <c r="H441" s="4">
        <v>44707.59</v>
      </c>
      <c r="I441" t="s">
        <v>3</v>
      </c>
      <c r="J441" s="6">
        <v>1400000236</v>
      </c>
      <c r="K441" t="s">
        <v>0</v>
      </c>
      <c r="L441" s="3">
        <v>4227</v>
      </c>
      <c r="M441" s="3">
        <v>4196</v>
      </c>
      <c r="N441" t="s">
        <v>4</v>
      </c>
      <c r="O441" s="6">
        <v>1050</v>
      </c>
      <c r="P441" s="12">
        <f t="shared" si="12"/>
        <v>1050</v>
      </c>
      <c r="Q441" t="str">
        <f t="shared" si="13"/>
        <v>⑤만기경과 후 12개월 초과</v>
      </c>
    </row>
    <row r="442" spans="1:17" ht="13.95" customHeight="1" outlineLevel="3" x14ac:dyDescent="0.25">
      <c r="A442" t="s">
        <v>1</v>
      </c>
      <c r="B442" s="2">
        <v>39813</v>
      </c>
      <c r="C442" s="2">
        <v>39813</v>
      </c>
      <c r="D442" s="2">
        <v>39858</v>
      </c>
      <c r="E442" s="2"/>
      <c r="F442" t="s">
        <v>2</v>
      </c>
      <c r="G442" s="3">
        <v>45</v>
      </c>
      <c r="H442" s="4">
        <v>23729.08</v>
      </c>
      <c r="I442" t="s">
        <v>3</v>
      </c>
      <c r="J442" s="6">
        <v>1400000235</v>
      </c>
      <c r="K442" t="s">
        <v>0</v>
      </c>
      <c r="L442" s="3">
        <v>4227</v>
      </c>
      <c r="M442" s="3">
        <v>4196</v>
      </c>
      <c r="N442" t="s">
        <v>4</v>
      </c>
      <c r="O442" s="6">
        <v>1050</v>
      </c>
      <c r="P442" s="12">
        <f t="shared" si="12"/>
        <v>1050</v>
      </c>
      <c r="Q442" t="str">
        <f t="shared" si="13"/>
        <v>⑤만기경과 후 12개월 초과</v>
      </c>
    </row>
    <row r="443" spans="1:17" ht="13.95" customHeight="1" outlineLevel="3" x14ac:dyDescent="0.25">
      <c r="A443" t="s">
        <v>1</v>
      </c>
      <c r="B443" s="2">
        <v>39813</v>
      </c>
      <c r="C443" s="2">
        <v>39813</v>
      </c>
      <c r="D443" s="2">
        <v>39858</v>
      </c>
      <c r="E443" s="2"/>
      <c r="F443" t="s">
        <v>2</v>
      </c>
      <c r="G443" s="3">
        <v>45</v>
      </c>
      <c r="H443" s="4">
        <v>36141.49</v>
      </c>
      <c r="I443" t="s">
        <v>3</v>
      </c>
      <c r="J443" s="6">
        <v>1400000234</v>
      </c>
      <c r="K443" t="s">
        <v>0</v>
      </c>
      <c r="L443" s="3">
        <v>4227</v>
      </c>
      <c r="M443" s="3">
        <v>4196</v>
      </c>
      <c r="N443" t="s">
        <v>4</v>
      </c>
      <c r="O443" s="6">
        <v>1050</v>
      </c>
      <c r="P443" s="12">
        <f t="shared" si="12"/>
        <v>1050</v>
      </c>
      <c r="Q443" t="str">
        <f t="shared" si="13"/>
        <v>⑤만기경과 후 12개월 초과</v>
      </c>
    </row>
    <row r="444" spans="1:17" ht="13.95" customHeight="1" outlineLevel="3" x14ac:dyDescent="0.25">
      <c r="A444" t="s">
        <v>1</v>
      </c>
      <c r="B444" s="2">
        <v>39813</v>
      </c>
      <c r="C444" s="2">
        <v>39813</v>
      </c>
      <c r="D444" s="2">
        <v>39858</v>
      </c>
      <c r="E444" s="2"/>
      <c r="F444" t="s">
        <v>2</v>
      </c>
      <c r="G444" s="3">
        <v>45</v>
      </c>
      <c r="H444" s="4">
        <v>48771.91</v>
      </c>
      <c r="I444" t="s">
        <v>3</v>
      </c>
      <c r="J444" s="6">
        <v>1400000233</v>
      </c>
      <c r="K444" t="s">
        <v>0</v>
      </c>
      <c r="L444" s="3">
        <v>4227</v>
      </c>
      <c r="M444" s="3">
        <v>4196</v>
      </c>
      <c r="N444" t="s">
        <v>4</v>
      </c>
      <c r="O444" s="6">
        <v>1050</v>
      </c>
      <c r="P444" s="12">
        <f t="shared" si="12"/>
        <v>1050</v>
      </c>
      <c r="Q444" t="str">
        <f t="shared" si="13"/>
        <v>⑤만기경과 후 12개월 초과</v>
      </c>
    </row>
    <row r="445" spans="1:17" ht="13.95" customHeight="1" outlineLevel="3" x14ac:dyDescent="0.25">
      <c r="A445" t="s">
        <v>1</v>
      </c>
      <c r="B445" s="2">
        <v>39813</v>
      </c>
      <c r="C445" s="2">
        <v>39813</v>
      </c>
      <c r="D445" s="2">
        <v>39858</v>
      </c>
      <c r="E445" s="2"/>
      <c r="F445" t="s">
        <v>2</v>
      </c>
      <c r="G445" s="3">
        <v>45</v>
      </c>
      <c r="H445" s="4">
        <v>27683.919999999998</v>
      </c>
      <c r="I445" t="s">
        <v>3</v>
      </c>
      <c r="J445" s="6">
        <v>1400000232</v>
      </c>
      <c r="K445" t="s">
        <v>0</v>
      </c>
      <c r="L445" s="3">
        <v>4227</v>
      </c>
      <c r="M445" s="3">
        <v>4196</v>
      </c>
      <c r="N445" t="s">
        <v>4</v>
      </c>
      <c r="O445" s="6">
        <v>1050</v>
      </c>
      <c r="P445" s="12">
        <f t="shared" si="12"/>
        <v>1050</v>
      </c>
      <c r="Q445" t="str">
        <f t="shared" si="13"/>
        <v>⑤만기경과 후 12개월 초과</v>
      </c>
    </row>
    <row r="446" spans="1:17" ht="13.95" customHeight="1" outlineLevel="3" x14ac:dyDescent="0.25">
      <c r="A446" t="s">
        <v>1</v>
      </c>
      <c r="B446" s="2">
        <v>40147</v>
      </c>
      <c r="C446" s="2">
        <v>40147</v>
      </c>
      <c r="D446" s="2">
        <v>40192</v>
      </c>
      <c r="E446" s="2"/>
      <c r="F446" t="s">
        <v>2</v>
      </c>
      <c r="G446" s="3">
        <v>45</v>
      </c>
      <c r="H446" s="4">
        <v>52836.24</v>
      </c>
      <c r="I446" t="s">
        <v>3</v>
      </c>
      <c r="J446" s="6">
        <v>1400000175</v>
      </c>
      <c r="K446" t="s">
        <v>0</v>
      </c>
      <c r="L446" s="3">
        <v>3893</v>
      </c>
      <c r="M446" s="3">
        <v>3862</v>
      </c>
      <c r="N446" t="s">
        <v>4</v>
      </c>
      <c r="O446" s="6">
        <v>1050</v>
      </c>
      <c r="P446" s="12">
        <f t="shared" si="12"/>
        <v>716</v>
      </c>
      <c r="Q446" t="str">
        <f t="shared" si="13"/>
        <v>⑤만기경과 후 12개월 초과</v>
      </c>
    </row>
    <row r="447" spans="1:17" ht="13.95" customHeight="1" outlineLevel="3" x14ac:dyDescent="0.25">
      <c r="A447" t="s">
        <v>1</v>
      </c>
      <c r="B447" s="2">
        <v>40482</v>
      </c>
      <c r="C447" s="2">
        <v>40482</v>
      </c>
      <c r="D447" s="2">
        <v>40527</v>
      </c>
      <c r="E447" s="2"/>
      <c r="F447" t="s">
        <v>2</v>
      </c>
      <c r="G447" s="3">
        <v>45</v>
      </c>
      <c r="H447" s="4">
        <v>25299.040000000001</v>
      </c>
      <c r="I447" t="s">
        <v>3</v>
      </c>
      <c r="J447" s="6">
        <v>1400000277</v>
      </c>
      <c r="K447" t="s">
        <v>0</v>
      </c>
      <c r="L447" s="3">
        <v>3558</v>
      </c>
      <c r="M447" s="3">
        <v>3527</v>
      </c>
      <c r="N447" t="s">
        <v>4</v>
      </c>
      <c r="O447" s="6">
        <v>1050</v>
      </c>
      <c r="P447" s="12">
        <f t="shared" si="12"/>
        <v>381</v>
      </c>
      <c r="Q447" t="str">
        <f t="shared" si="13"/>
        <v>⑤만기경과 후 12개월 초과</v>
      </c>
    </row>
    <row r="448" spans="1:17" ht="13.95" customHeight="1" outlineLevel="3" x14ac:dyDescent="0.25">
      <c r="A448" t="s">
        <v>1</v>
      </c>
      <c r="B448" s="2">
        <v>40482</v>
      </c>
      <c r="C448" s="2">
        <v>40482</v>
      </c>
      <c r="D448" s="2">
        <v>40527</v>
      </c>
      <c r="E448" s="2"/>
      <c r="F448" t="s">
        <v>2</v>
      </c>
      <c r="G448" s="3">
        <v>45</v>
      </c>
      <c r="H448" s="4">
        <v>56900.56</v>
      </c>
      <c r="I448" t="s">
        <v>3</v>
      </c>
      <c r="J448" s="6">
        <v>1400000276</v>
      </c>
      <c r="K448" t="s">
        <v>0</v>
      </c>
      <c r="L448" s="3">
        <v>3558</v>
      </c>
      <c r="M448" s="3">
        <v>3527</v>
      </c>
      <c r="N448" t="s">
        <v>4</v>
      </c>
      <c r="O448" s="6">
        <v>1050</v>
      </c>
      <c r="P448" s="12">
        <f t="shared" si="12"/>
        <v>381</v>
      </c>
      <c r="Q448" t="str">
        <f t="shared" si="13"/>
        <v>⑤만기경과 후 12개월 초과</v>
      </c>
    </row>
    <row r="449" spans="1:17" ht="13.95" customHeight="1" outlineLevel="3" x14ac:dyDescent="0.25">
      <c r="A449" t="s">
        <v>1</v>
      </c>
      <c r="B449" s="2">
        <v>40482</v>
      </c>
      <c r="C449" s="2">
        <v>40482</v>
      </c>
      <c r="D449" s="2">
        <v>40527</v>
      </c>
      <c r="E449" s="2"/>
      <c r="F449" t="s">
        <v>2</v>
      </c>
      <c r="G449" s="3">
        <v>45</v>
      </c>
      <c r="H449" s="4">
        <v>43503.31</v>
      </c>
      <c r="I449" t="s">
        <v>3</v>
      </c>
      <c r="J449" s="6">
        <v>1400000275</v>
      </c>
      <c r="K449" t="s">
        <v>0</v>
      </c>
      <c r="L449" s="3">
        <v>3558</v>
      </c>
      <c r="M449" s="3">
        <v>3527</v>
      </c>
      <c r="N449" t="s">
        <v>4</v>
      </c>
      <c r="O449" s="6">
        <v>1050</v>
      </c>
      <c r="P449" s="12">
        <f t="shared" si="12"/>
        <v>381</v>
      </c>
      <c r="Q449" t="str">
        <f t="shared" si="13"/>
        <v>⑤만기경과 후 12개월 초과</v>
      </c>
    </row>
    <row r="450" spans="1:17" ht="13.95" customHeight="1" outlineLevel="3" x14ac:dyDescent="0.25">
      <c r="A450" t="s">
        <v>1</v>
      </c>
      <c r="B450" s="2">
        <v>40482</v>
      </c>
      <c r="C450" s="2">
        <v>40482</v>
      </c>
      <c r="D450" s="2">
        <v>40527</v>
      </c>
      <c r="E450" s="2"/>
      <c r="F450" t="s">
        <v>2</v>
      </c>
      <c r="G450" s="3">
        <v>45</v>
      </c>
      <c r="H450" s="4">
        <v>21684.89</v>
      </c>
      <c r="I450" t="s">
        <v>3</v>
      </c>
      <c r="J450" s="6">
        <v>1400000274</v>
      </c>
      <c r="K450" t="s">
        <v>0</v>
      </c>
      <c r="L450" s="3">
        <v>3558</v>
      </c>
      <c r="M450" s="3">
        <v>3527</v>
      </c>
      <c r="N450" t="s">
        <v>4</v>
      </c>
      <c r="O450" s="6">
        <v>1050</v>
      </c>
      <c r="P450" s="12">
        <f t="shared" si="12"/>
        <v>381</v>
      </c>
      <c r="Q450" t="str">
        <f t="shared" si="13"/>
        <v>⑤만기경과 후 12개월 초과</v>
      </c>
    </row>
    <row r="451" spans="1:17" ht="13.95" customHeight="1" outlineLevel="3" x14ac:dyDescent="0.25">
      <c r="A451" t="s">
        <v>1</v>
      </c>
      <c r="B451" s="2">
        <v>40451</v>
      </c>
      <c r="C451" s="2">
        <v>40451</v>
      </c>
      <c r="D451" s="2">
        <v>40496</v>
      </c>
      <c r="E451" s="2"/>
      <c r="F451" t="s">
        <v>2</v>
      </c>
      <c r="G451" s="3">
        <v>45</v>
      </c>
      <c r="H451" s="4">
        <v>48771.91</v>
      </c>
      <c r="I451" t="s">
        <v>3</v>
      </c>
      <c r="J451" s="6">
        <v>1400000232</v>
      </c>
      <c r="K451" t="s">
        <v>0</v>
      </c>
      <c r="L451" s="3">
        <v>3589</v>
      </c>
      <c r="M451" s="3">
        <v>3558</v>
      </c>
      <c r="N451" t="s">
        <v>4</v>
      </c>
      <c r="O451" s="6">
        <v>1050</v>
      </c>
      <c r="P451" s="12">
        <f t="shared" ref="P451:P514" si="14">$T$1-D451</f>
        <v>412</v>
      </c>
      <c r="Q451" t="str">
        <f t="shared" ref="Q451:Q514" si="15">IF(P451&lt;=0,"①연체되지 않은 채권",IF(P451&lt;=92,"②만기경과 후 3개월 이하",IF(P451&lt;=184,"③만기경과 후 4~6개월",IF(P451&lt;=365,"④만기경과 후 7~12개월","⑤만기경과 후 12개월 초과"))))</f>
        <v>⑤만기경과 후 12개월 초과</v>
      </c>
    </row>
    <row r="452" spans="1:17" ht="13.95" customHeight="1" outlineLevel="3" x14ac:dyDescent="0.25">
      <c r="A452" t="s">
        <v>1</v>
      </c>
      <c r="B452" s="2">
        <v>40451</v>
      </c>
      <c r="C452" s="2">
        <v>40451</v>
      </c>
      <c r="D452" s="2">
        <v>40496</v>
      </c>
      <c r="E452" s="2"/>
      <c r="F452" t="s">
        <v>2</v>
      </c>
      <c r="G452" s="3">
        <v>45</v>
      </c>
      <c r="H452" s="4">
        <v>55367.839999999997</v>
      </c>
      <c r="I452" t="s">
        <v>3</v>
      </c>
      <c r="J452" s="6">
        <v>1400000231</v>
      </c>
      <c r="K452" t="s">
        <v>0</v>
      </c>
      <c r="L452" s="3">
        <v>3589</v>
      </c>
      <c r="M452" s="3">
        <v>3558</v>
      </c>
      <c r="N452" t="s">
        <v>4</v>
      </c>
      <c r="O452" s="6">
        <v>1050</v>
      </c>
      <c r="P452" s="12">
        <f t="shared" si="14"/>
        <v>412</v>
      </c>
      <c r="Q452" t="str">
        <f t="shared" si="15"/>
        <v>⑤만기경과 후 12개월 초과</v>
      </c>
    </row>
    <row r="453" spans="1:17" ht="13.95" customHeight="1" outlineLevel="3" x14ac:dyDescent="0.25">
      <c r="A453" t="s">
        <v>1</v>
      </c>
      <c r="B453" s="2">
        <v>40451</v>
      </c>
      <c r="C453" s="2">
        <v>40451</v>
      </c>
      <c r="D453" s="2">
        <v>40496</v>
      </c>
      <c r="E453" s="2"/>
      <c r="F453" t="s">
        <v>2</v>
      </c>
      <c r="G453" s="3">
        <v>45</v>
      </c>
      <c r="H453" s="4">
        <v>18070.75</v>
      </c>
      <c r="I453" t="s">
        <v>3</v>
      </c>
      <c r="J453" s="6">
        <v>1400000230</v>
      </c>
      <c r="K453" t="s">
        <v>0</v>
      </c>
      <c r="L453" s="3">
        <v>3589</v>
      </c>
      <c r="M453" s="3">
        <v>3558</v>
      </c>
      <c r="N453" t="s">
        <v>4</v>
      </c>
      <c r="O453" s="6">
        <v>1050</v>
      </c>
      <c r="P453" s="12">
        <f t="shared" si="14"/>
        <v>412</v>
      </c>
      <c r="Q453" t="str">
        <f t="shared" si="15"/>
        <v>⑤만기경과 후 12개월 초과</v>
      </c>
    </row>
    <row r="454" spans="1:17" ht="13.95" customHeight="1" outlineLevel="3" x14ac:dyDescent="0.25">
      <c r="A454" t="s">
        <v>1</v>
      </c>
      <c r="B454" s="2">
        <v>40451</v>
      </c>
      <c r="C454" s="2">
        <v>40451</v>
      </c>
      <c r="D454" s="2">
        <v>40496</v>
      </c>
      <c r="E454" s="2"/>
      <c r="F454" t="s">
        <v>2</v>
      </c>
      <c r="G454" s="3">
        <v>45</v>
      </c>
      <c r="H454" s="4">
        <v>44707.59</v>
      </c>
      <c r="I454" t="s">
        <v>3</v>
      </c>
      <c r="J454" s="6">
        <v>1400000229</v>
      </c>
      <c r="K454" t="s">
        <v>0</v>
      </c>
      <c r="L454" s="3">
        <v>3589</v>
      </c>
      <c r="M454" s="3">
        <v>3558</v>
      </c>
      <c r="N454" t="s">
        <v>4</v>
      </c>
      <c r="O454" s="6">
        <v>1050</v>
      </c>
      <c r="P454" s="12">
        <f t="shared" si="14"/>
        <v>412</v>
      </c>
      <c r="Q454" t="str">
        <f t="shared" si="15"/>
        <v>⑤만기경과 후 12개월 초과</v>
      </c>
    </row>
    <row r="455" spans="1:17" ht="13.95" customHeight="1" outlineLevel="3" x14ac:dyDescent="0.25">
      <c r="A455" t="s">
        <v>1</v>
      </c>
      <c r="B455" s="2">
        <v>40451</v>
      </c>
      <c r="C455" s="2">
        <v>40451</v>
      </c>
      <c r="D455" s="2">
        <v>40496</v>
      </c>
      <c r="E455" s="2"/>
      <c r="F455" t="s">
        <v>2</v>
      </c>
      <c r="G455" s="3">
        <v>45</v>
      </c>
      <c r="H455" s="4">
        <v>47458.15</v>
      </c>
      <c r="I455" t="s">
        <v>3</v>
      </c>
      <c r="J455" s="6">
        <v>1400000228</v>
      </c>
      <c r="K455" t="s">
        <v>0</v>
      </c>
      <c r="L455" s="3">
        <v>3589</v>
      </c>
      <c r="M455" s="3">
        <v>3558</v>
      </c>
      <c r="N455" t="s">
        <v>4</v>
      </c>
      <c r="O455" s="6">
        <v>1050</v>
      </c>
      <c r="P455" s="12">
        <f t="shared" si="14"/>
        <v>412</v>
      </c>
      <c r="Q455" t="str">
        <f t="shared" si="15"/>
        <v>⑤만기경과 후 12개월 초과</v>
      </c>
    </row>
    <row r="456" spans="1:17" ht="13.95" customHeight="1" outlineLevel="3" x14ac:dyDescent="0.25">
      <c r="A456" t="s">
        <v>1</v>
      </c>
      <c r="B456" s="2">
        <v>40451</v>
      </c>
      <c r="C456" s="2">
        <v>40451</v>
      </c>
      <c r="D456" s="2">
        <v>40496</v>
      </c>
      <c r="E456" s="2"/>
      <c r="F456" t="s">
        <v>2</v>
      </c>
      <c r="G456" s="3">
        <v>45</v>
      </c>
      <c r="H456" s="4">
        <v>18070.75</v>
      </c>
      <c r="I456" t="s">
        <v>3</v>
      </c>
      <c r="J456" s="6">
        <v>1400000227</v>
      </c>
      <c r="K456" t="s">
        <v>0</v>
      </c>
      <c r="L456" s="3">
        <v>3589</v>
      </c>
      <c r="M456" s="3">
        <v>3558</v>
      </c>
      <c r="N456" t="s">
        <v>4</v>
      </c>
      <c r="O456" s="6">
        <v>1050</v>
      </c>
      <c r="P456" s="12">
        <f t="shared" si="14"/>
        <v>412</v>
      </c>
      <c r="Q456" t="str">
        <f t="shared" si="15"/>
        <v>⑤만기경과 후 12개월 초과</v>
      </c>
    </row>
    <row r="457" spans="1:17" ht="13.95" customHeight="1" outlineLevel="3" x14ac:dyDescent="0.25">
      <c r="A457" t="s">
        <v>1</v>
      </c>
      <c r="B457" s="2">
        <v>40421</v>
      </c>
      <c r="C457" s="2">
        <v>40421</v>
      </c>
      <c r="D457" s="2">
        <v>40466</v>
      </c>
      <c r="E457" s="2"/>
      <c r="F457" t="s">
        <v>2</v>
      </c>
      <c r="G457" s="3">
        <v>45</v>
      </c>
      <c r="H457" s="4">
        <v>36578.93</v>
      </c>
      <c r="I457" t="s">
        <v>3</v>
      </c>
      <c r="J457" s="6">
        <v>1400000160</v>
      </c>
      <c r="K457" t="s">
        <v>0</v>
      </c>
      <c r="L457" s="3">
        <v>3619</v>
      </c>
      <c r="M457" s="3">
        <v>3588</v>
      </c>
      <c r="N457" t="s">
        <v>4</v>
      </c>
      <c r="O457" s="6">
        <v>1050</v>
      </c>
      <c r="P457" s="12">
        <f t="shared" si="14"/>
        <v>442</v>
      </c>
      <c r="Q457" t="str">
        <f t="shared" si="15"/>
        <v>⑤만기경과 후 12개월 초과</v>
      </c>
    </row>
    <row r="458" spans="1:17" ht="13.95" customHeight="1" outlineLevel="3" x14ac:dyDescent="0.25">
      <c r="A458" t="s">
        <v>1</v>
      </c>
      <c r="B458" s="2">
        <v>40421</v>
      </c>
      <c r="C458" s="2">
        <v>40421</v>
      </c>
      <c r="D458" s="2">
        <v>40466</v>
      </c>
      <c r="E458" s="2"/>
      <c r="F458" t="s">
        <v>2</v>
      </c>
      <c r="G458" s="3">
        <v>45</v>
      </c>
      <c r="H458" s="4">
        <v>63277.54</v>
      </c>
      <c r="I458" t="s">
        <v>3</v>
      </c>
      <c r="J458" s="6">
        <v>1400000159</v>
      </c>
      <c r="K458" t="s">
        <v>0</v>
      </c>
      <c r="L458" s="3">
        <v>3619</v>
      </c>
      <c r="M458" s="3">
        <v>3588</v>
      </c>
      <c r="N458" t="s">
        <v>4</v>
      </c>
      <c r="O458" s="6">
        <v>1050</v>
      </c>
      <c r="P458" s="12">
        <f t="shared" si="14"/>
        <v>442</v>
      </c>
      <c r="Q458" t="str">
        <f t="shared" si="15"/>
        <v>⑤만기경과 후 12개월 초과</v>
      </c>
    </row>
    <row r="459" spans="1:17" ht="13.95" customHeight="1" outlineLevel="3" x14ac:dyDescent="0.25">
      <c r="A459" t="s">
        <v>1</v>
      </c>
      <c r="B459" s="2">
        <v>40421</v>
      </c>
      <c r="C459" s="2">
        <v>40421</v>
      </c>
      <c r="D459" s="2">
        <v>40466</v>
      </c>
      <c r="E459" s="2"/>
      <c r="F459" t="s">
        <v>2</v>
      </c>
      <c r="G459" s="3">
        <v>45</v>
      </c>
      <c r="H459" s="4">
        <v>21684.89</v>
      </c>
      <c r="I459" t="s">
        <v>3</v>
      </c>
      <c r="J459" s="6">
        <v>1400000158</v>
      </c>
      <c r="K459" t="s">
        <v>0</v>
      </c>
      <c r="L459" s="3">
        <v>3619</v>
      </c>
      <c r="M459" s="3">
        <v>3588</v>
      </c>
      <c r="N459" t="s">
        <v>4</v>
      </c>
      <c r="O459" s="6">
        <v>1050</v>
      </c>
      <c r="P459" s="12">
        <f t="shared" si="14"/>
        <v>442</v>
      </c>
      <c r="Q459" t="str">
        <f t="shared" si="15"/>
        <v>⑤만기경과 후 12개월 초과</v>
      </c>
    </row>
    <row r="460" spans="1:17" ht="13.95" customHeight="1" outlineLevel="3" x14ac:dyDescent="0.25">
      <c r="A460" t="s">
        <v>1</v>
      </c>
      <c r="B460" s="2">
        <v>40421</v>
      </c>
      <c r="C460" s="2">
        <v>40421</v>
      </c>
      <c r="D460" s="2">
        <v>40466</v>
      </c>
      <c r="E460" s="2"/>
      <c r="F460" t="s">
        <v>2</v>
      </c>
      <c r="G460" s="3">
        <v>45</v>
      </c>
      <c r="H460" s="4">
        <v>40643.26</v>
      </c>
      <c r="I460" t="s">
        <v>3</v>
      </c>
      <c r="J460" s="6">
        <v>1400000157</v>
      </c>
      <c r="K460" t="s">
        <v>0</v>
      </c>
      <c r="L460" s="3">
        <v>3619</v>
      </c>
      <c r="M460" s="3">
        <v>3588</v>
      </c>
      <c r="N460" t="s">
        <v>4</v>
      </c>
      <c r="O460" s="6">
        <v>1050</v>
      </c>
      <c r="P460" s="12">
        <f t="shared" si="14"/>
        <v>442</v>
      </c>
      <c r="Q460" t="str">
        <f t="shared" si="15"/>
        <v>⑤만기경과 후 12개월 초과</v>
      </c>
    </row>
    <row r="461" spans="1:17" ht="13.95" customHeight="1" outlineLevel="3" x14ac:dyDescent="0.25">
      <c r="A461" t="s">
        <v>1</v>
      </c>
      <c r="B461" s="2">
        <v>40421</v>
      </c>
      <c r="C461" s="2">
        <v>40421</v>
      </c>
      <c r="D461" s="2">
        <v>40466</v>
      </c>
      <c r="E461" s="2"/>
      <c r="F461" t="s">
        <v>2</v>
      </c>
      <c r="G461" s="3">
        <v>45</v>
      </c>
      <c r="H461" s="4">
        <v>51413</v>
      </c>
      <c r="I461" t="s">
        <v>3</v>
      </c>
      <c r="J461" s="6">
        <v>1400000156</v>
      </c>
      <c r="K461" t="s">
        <v>0</v>
      </c>
      <c r="L461" s="3">
        <v>3619</v>
      </c>
      <c r="M461" s="3">
        <v>3588</v>
      </c>
      <c r="N461" t="s">
        <v>4</v>
      </c>
      <c r="O461" s="6">
        <v>1050</v>
      </c>
      <c r="P461" s="12">
        <f t="shared" si="14"/>
        <v>442</v>
      </c>
      <c r="Q461" t="str">
        <f t="shared" si="15"/>
        <v>⑤만기경과 후 12개월 초과</v>
      </c>
    </row>
    <row r="462" spans="1:17" ht="13.95" customHeight="1" outlineLevel="3" x14ac:dyDescent="0.25">
      <c r="A462" t="s">
        <v>1</v>
      </c>
      <c r="B462" s="2">
        <v>40421</v>
      </c>
      <c r="C462" s="2">
        <v>40421</v>
      </c>
      <c r="D462" s="2">
        <v>40466</v>
      </c>
      <c r="E462" s="2"/>
      <c r="F462" t="s">
        <v>2</v>
      </c>
      <c r="G462" s="3">
        <v>45</v>
      </c>
      <c r="H462" s="4">
        <v>14456.6</v>
      </c>
      <c r="I462" t="s">
        <v>3</v>
      </c>
      <c r="J462" s="6">
        <v>1400000155</v>
      </c>
      <c r="K462" t="s">
        <v>0</v>
      </c>
      <c r="L462" s="3">
        <v>3619</v>
      </c>
      <c r="M462" s="3">
        <v>3588</v>
      </c>
      <c r="N462" t="s">
        <v>4</v>
      </c>
      <c r="O462" s="6">
        <v>1050</v>
      </c>
      <c r="P462" s="12">
        <f t="shared" si="14"/>
        <v>442</v>
      </c>
      <c r="Q462" t="str">
        <f t="shared" si="15"/>
        <v>⑤만기경과 후 12개월 초과</v>
      </c>
    </row>
    <row r="463" spans="1:17" ht="13.95" customHeight="1" outlineLevel="3" x14ac:dyDescent="0.25">
      <c r="A463" t="s">
        <v>1</v>
      </c>
      <c r="B463" s="2">
        <v>40390</v>
      </c>
      <c r="C463" s="2">
        <v>40390</v>
      </c>
      <c r="D463" s="2">
        <v>40435</v>
      </c>
      <c r="E463" s="2"/>
      <c r="F463" t="s">
        <v>2</v>
      </c>
      <c r="G463" s="3">
        <v>45</v>
      </c>
      <c r="H463" s="4">
        <v>24385.96</v>
      </c>
      <c r="I463" t="s">
        <v>3</v>
      </c>
      <c r="J463" s="6">
        <v>1400000136</v>
      </c>
      <c r="K463" t="s">
        <v>0</v>
      </c>
      <c r="L463" s="3">
        <v>3650</v>
      </c>
      <c r="M463" s="3">
        <v>3619</v>
      </c>
      <c r="N463" t="s">
        <v>4</v>
      </c>
      <c r="O463" s="6">
        <v>1050</v>
      </c>
      <c r="P463" s="12">
        <f t="shared" si="14"/>
        <v>473</v>
      </c>
      <c r="Q463" t="str">
        <f t="shared" si="15"/>
        <v>⑤만기경과 후 12개월 초과</v>
      </c>
    </row>
    <row r="464" spans="1:17" ht="13.95" customHeight="1" outlineLevel="3" x14ac:dyDescent="0.25">
      <c r="A464" t="s">
        <v>1</v>
      </c>
      <c r="B464" s="2">
        <v>40390</v>
      </c>
      <c r="C464" s="2">
        <v>40390</v>
      </c>
      <c r="D464" s="2">
        <v>40435</v>
      </c>
      <c r="E464" s="2"/>
      <c r="F464" t="s">
        <v>2</v>
      </c>
      <c r="G464" s="3">
        <v>45</v>
      </c>
      <c r="H464" s="4">
        <v>67232.38</v>
      </c>
      <c r="I464" t="s">
        <v>3</v>
      </c>
      <c r="J464" s="6">
        <v>1400000135</v>
      </c>
      <c r="K464" t="s">
        <v>0</v>
      </c>
      <c r="L464" s="3">
        <v>3650</v>
      </c>
      <c r="M464" s="3">
        <v>3619</v>
      </c>
      <c r="N464" t="s">
        <v>4</v>
      </c>
      <c r="O464" s="6">
        <v>1050</v>
      </c>
      <c r="P464" s="12">
        <f t="shared" si="14"/>
        <v>473</v>
      </c>
      <c r="Q464" t="str">
        <f t="shared" si="15"/>
        <v>⑤만기경과 후 12개월 초과</v>
      </c>
    </row>
    <row r="465" spans="1:17" ht="13.95" customHeight="1" outlineLevel="3" x14ac:dyDescent="0.25">
      <c r="A465" t="s">
        <v>1</v>
      </c>
      <c r="B465" s="2">
        <v>40390</v>
      </c>
      <c r="C465" s="2">
        <v>40390</v>
      </c>
      <c r="D465" s="2">
        <v>40435</v>
      </c>
      <c r="E465" s="2"/>
      <c r="F465" t="s">
        <v>2</v>
      </c>
      <c r="G465" s="3">
        <v>45</v>
      </c>
      <c r="H465" s="4">
        <v>21684.89</v>
      </c>
      <c r="I465" t="s">
        <v>3</v>
      </c>
      <c r="J465" s="6">
        <v>1400000134</v>
      </c>
      <c r="K465" t="s">
        <v>0</v>
      </c>
      <c r="L465" s="3">
        <v>3650</v>
      </c>
      <c r="M465" s="3">
        <v>3619</v>
      </c>
      <c r="N465" t="s">
        <v>4</v>
      </c>
      <c r="O465" s="6">
        <v>1050</v>
      </c>
      <c r="P465" s="12">
        <f t="shared" si="14"/>
        <v>473</v>
      </c>
      <c r="Q465" t="str">
        <f t="shared" si="15"/>
        <v>⑤만기경과 후 12개월 초과</v>
      </c>
    </row>
    <row r="466" spans="1:17" ht="13.95" customHeight="1" outlineLevel="3" x14ac:dyDescent="0.25">
      <c r="A466" t="s">
        <v>1</v>
      </c>
      <c r="B466" s="2">
        <v>40390</v>
      </c>
      <c r="C466" s="2">
        <v>40390</v>
      </c>
      <c r="D466" s="2">
        <v>40435</v>
      </c>
      <c r="E466" s="2"/>
      <c r="F466" t="s">
        <v>2</v>
      </c>
      <c r="G466" s="3">
        <v>45</v>
      </c>
      <c r="H466" s="4">
        <v>28450.28</v>
      </c>
      <c r="I466" t="s">
        <v>3</v>
      </c>
      <c r="J466" s="6">
        <v>1400000133</v>
      </c>
      <c r="K466" t="s">
        <v>0</v>
      </c>
      <c r="L466" s="3">
        <v>3650</v>
      </c>
      <c r="M466" s="3">
        <v>3619</v>
      </c>
      <c r="N466" t="s">
        <v>4</v>
      </c>
      <c r="O466" s="6">
        <v>1050</v>
      </c>
      <c r="P466" s="12">
        <f t="shared" si="14"/>
        <v>473</v>
      </c>
      <c r="Q466" t="str">
        <f t="shared" si="15"/>
        <v>⑤만기경과 후 12개월 초과</v>
      </c>
    </row>
    <row r="467" spans="1:17" ht="13.95" customHeight="1" outlineLevel="3" x14ac:dyDescent="0.25">
      <c r="A467" t="s">
        <v>1</v>
      </c>
      <c r="B467" s="2">
        <v>40390</v>
      </c>
      <c r="C467" s="2">
        <v>40390</v>
      </c>
      <c r="D467" s="2">
        <v>40435</v>
      </c>
      <c r="E467" s="2"/>
      <c r="F467" t="s">
        <v>2</v>
      </c>
      <c r="G467" s="3">
        <v>45</v>
      </c>
      <c r="H467" s="4">
        <v>63277.54</v>
      </c>
      <c r="I467" t="s">
        <v>3</v>
      </c>
      <c r="J467" s="6">
        <v>1400000132</v>
      </c>
      <c r="K467" t="s">
        <v>0</v>
      </c>
      <c r="L467" s="3">
        <v>3650</v>
      </c>
      <c r="M467" s="3">
        <v>3619</v>
      </c>
      <c r="N467" t="s">
        <v>4</v>
      </c>
      <c r="O467" s="6">
        <v>1050</v>
      </c>
      <c r="P467" s="12">
        <f t="shared" si="14"/>
        <v>473</v>
      </c>
      <c r="Q467" t="str">
        <f t="shared" si="15"/>
        <v>⑤만기경과 후 12개월 초과</v>
      </c>
    </row>
    <row r="468" spans="1:17" ht="13.95" customHeight="1" outlineLevel="3" x14ac:dyDescent="0.25">
      <c r="A468" t="s">
        <v>1</v>
      </c>
      <c r="B468" s="2">
        <v>40390</v>
      </c>
      <c r="C468" s="2">
        <v>40390</v>
      </c>
      <c r="D468" s="2">
        <v>40435</v>
      </c>
      <c r="E468" s="2"/>
      <c r="F468" t="s">
        <v>2</v>
      </c>
      <c r="G468" s="3">
        <v>45</v>
      </c>
      <c r="H468" s="4">
        <v>21684.89</v>
      </c>
      <c r="I468" t="s">
        <v>3</v>
      </c>
      <c r="J468" s="6">
        <v>1400000131</v>
      </c>
      <c r="K468" t="s">
        <v>0</v>
      </c>
      <c r="L468" s="3">
        <v>3650</v>
      </c>
      <c r="M468" s="3">
        <v>3619</v>
      </c>
      <c r="N468" t="s">
        <v>4</v>
      </c>
      <c r="O468" s="6">
        <v>1050</v>
      </c>
      <c r="P468" s="12">
        <f t="shared" si="14"/>
        <v>473</v>
      </c>
      <c r="Q468" t="str">
        <f t="shared" si="15"/>
        <v>⑤만기경과 후 12개월 초과</v>
      </c>
    </row>
    <row r="469" spans="1:17" ht="13.95" customHeight="1" outlineLevel="3" x14ac:dyDescent="0.25">
      <c r="A469" t="s">
        <v>1</v>
      </c>
      <c r="B469" s="2">
        <v>40482</v>
      </c>
      <c r="C469" s="2">
        <v>40482</v>
      </c>
      <c r="D469" s="2">
        <v>40527</v>
      </c>
      <c r="E469" s="2"/>
      <c r="F469" t="s">
        <v>2</v>
      </c>
      <c r="G469" s="3">
        <v>45</v>
      </c>
      <c r="H469" s="4">
        <v>39548.46</v>
      </c>
      <c r="I469" t="s">
        <v>3</v>
      </c>
      <c r="J469" s="6">
        <v>1400000278</v>
      </c>
      <c r="K469" t="s">
        <v>0</v>
      </c>
      <c r="L469" s="3">
        <v>3558</v>
      </c>
      <c r="M469" s="3">
        <v>3527</v>
      </c>
      <c r="N469" t="s">
        <v>4</v>
      </c>
      <c r="O469" s="6">
        <v>1050</v>
      </c>
      <c r="P469" s="12">
        <f t="shared" si="14"/>
        <v>381</v>
      </c>
      <c r="Q469" t="str">
        <f t="shared" si="15"/>
        <v>⑤만기경과 후 12개월 초과</v>
      </c>
    </row>
    <row r="470" spans="1:17" ht="13.95" customHeight="1" outlineLevel="3" x14ac:dyDescent="0.25">
      <c r="A470" t="s">
        <v>1</v>
      </c>
      <c r="B470" s="2">
        <v>40602</v>
      </c>
      <c r="C470" s="2">
        <v>40602</v>
      </c>
      <c r="D470" s="2">
        <v>40647</v>
      </c>
      <c r="E470" s="2"/>
      <c r="F470" t="s">
        <v>2</v>
      </c>
      <c r="G470" s="3">
        <v>45</v>
      </c>
      <c r="H470" s="4">
        <v>36578.93</v>
      </c>
      <c r="I470" t="s">
        <v>3</v>
      </c>
      <c r="J470" s="6">
        <v>1400000014</v>
      </c>
      <c r="K470" t="s">
        <v>0</v>
      </c>
      <c r="L470" s="3">
        <v>3438</v>
      </c>
      <c r="M470" s="3">
        <v>3407</v>
      </c>
      <c r="N470" t="s">
        <v>4</v>
      </c>
      <c r="O470" s="6">
        <v>1050</v>
      </c>
      <c r="P470" s="12">
        <f t="shared" si="14"/>
        <v>261</v>
      </c>
      <c r="Q470" t="str">
        <f t="shared" si="15"/>
        <v>④만기경과 후 7~12개월</v>
      </c>
    </row>
    <row r="471" spans="1:17" ht="13.95" customHeight="1" outlineLevel="3" x14ac:dyDescent="0.25">
      <c r="A471" t="s">
        <v>1</v>
      </c>
      <c r="B471" s="2">
        <v>40602</v>
      </c>
      <c r="C471" s="2">
        <v>40602</v>
      </c>
      <c r="D471" s="2">
        <v>40647</v>
      </c>
      <c r="E471" s="2"/>
      <c r="F471" t="s">
        <v>2</v>
      </c>
      <c r="G471" s="3">
        <v>45</v>
      </c>
      <c r="H471" s="4">
        <v>23729.08</v>
      </c>
      <c r="I471" t="s">
        <v>3</v>
      </c>
      <c r="J471" s="6">
        <v>1400000013</v>
      </c>
      <c r="K471" t="s">
        <v>0</v>
      </c>
      <c r="L471" s="3">
        <v>3438</v>
      </c>
      <c r="M471" s="3">
        <v>3407</v>
      </c>
      <c r="N471" t="s">
        <v>4</v>
      </c>
      <c r="O471" s="6">
        <v>1050</v>
      </c>
      <c r="P471" s="12">
        <f t="shared" si="14"/>
        <v>261</v>
      </c>
      <c r="Q471" t="str">
        <f t="shared" si="15"/>
        <v>④만기경과 후 7~12개월</v>
      </c>
    </row>
    <row r="472" spans="1:17" ht="13.95" customHeight="1" outlineLevel="3" x14ac:dyDescent="0.25">
      <c r="A472" t="s">
        <v>1</v>
      </c>
      <c r="B472" s="2">
        <v>40602</v>
      </c>
      <c r="C472" s="2">
        <v>40602</v>
      </c>
      <c r="D472" s="2">
        <v>40647</v>
      </c>
      <c r="E472" s="2"/>
      <c r="F472" t="s">
        <v>2</v>
      </c>
      <c r="G472" s="3">
        <v>45</v>
      </c>
      <c r="H472" s="4">
        <v>50598.09</v>
      </c>
      <c r="I472" t="s">
        <v>3</v>
      </c>
      <c r="J472" s="6">
        <v>1400000012</v>
      </c>
      <c r="K472" t="s">
        <v>0</v>
      </c>
      <c r="L472" s="3">
        <v>3438</v>
      </c>
      <c r="M472" s="3">
        <v>3407</v>
      </c>
      <c r="N472" t="s">
        <v>4</v>
      </c>
      <c r="O472" s="6">
        <v>1050</v>
      </c>
      <c r="P472" s="12">
        <f t="shared" si="14"/>
        <v>261</v>
      </c>
      <c r="Q472" t="str">
        <f t="shared" si="15"/>
        <v>④만기경과 후 7~12개월</v>
      </c>
    </row>
    <row r="473" spans="1:17" ht="13.95" customHeight="1" outlineLevel="3" x14ac:dyDescent="0.25">
      <c r="A473" t="s">
        <v>1</v>
      </c>
      <c r="B473" s="2">
        <v>40574</v>
      </c>
      <c r="C473" s="2">
        <v>40574</v>
      </c>
      <c r="D473" s="2">
        <v>40619</v>
      </c>
      <c r="E473" s="2"/>
      <c r="F473" t="s">
        <v>2</v>
      </c>
      <c r="G473" s="3">
        <v>45</v>
      </c>
      <c r="H473" s="4">
        <v>36578.93</v>
      </c>
      <c r="I473" t="s">
        <v>3</v>
      </c>
      <c r="J473" s="6">
        <v>1400000008</v>
      </c>
      <c r="K473" t="s">
        <v>0</v>
      </c>
      <c r="L473" s="3">
        <v>3466</v>
      </c>
      <c r="M473" s="3">
        <v>3435</v>
      </c>
      <c r="N473" t="s">
        <v>4</v>
      </c>
      <c r="O473" s="6">
        <v>1050</v>
      </c>
      <c r="P473" s="12">
        <f t="shared" si="14"/>
        <v>289</v>
      </c>
      <c r="Q473" t="str">
        <f t="shared" si="15"/>
        <v>④만기경과 후 7~12개월</v>
      </c>
    </row>
    <row r="474" spans="1:17" ht="13.95" customHeight="1" outlineLevel="3" x14ac:dyDescent="0.25">
      <c r="A474" t="s">
        <v>1</v>
      </c>
      <c r="B474" s="2">
        <v>40574</v>
      </c>
      <c r="C474" s="2">
        <v>40574</v>
      </c>
      <c r="D474" s="2">
        <v>40619</v>
      </c>
      <c r="E474" s="2"/>
      <c r="F474" t="s">
        <v>2</v>
      </c>
      <c r="G474" s="3">
        <v>45</v>
      </c>
      <c r="H474" s="4">
        <v>27683.919999999998</v>
      </c>
      <c r="I474" t="s">
        <v>3</v>
      </c>
      <c r="J474" s="6">
        <v>1400000007</v>
      </c>
      <c r="K474" t="s">
        <v>0</v>
      </c>
      <c r="L474" s="3">
        <v>3466</v>
      </c>
      <c r="M474" s="3">
        <v>3435</v>
      </c>
      <c r="N474" t="s">
        <v>4</v>
      </c>
      <c r="O474" s="6">
        <v>1050</v>
      </c>
      <c r="P474" s="12">
        <f t="shared" si="14"/>
        <v>289</v>
      </c>
      <c r="Q474" t="str">
        <f t="shared" si="15"/>
        <v>④만기경과 후 7~12개월</v>
      </c>
    </row>
    <row r="475" spans="1:17" ht="13.95" customHeight="1" outlineLevel="3" x14ac:dyDescent="0.25">
      <c r="A475" t="s">
        <v>1</v>
      </c>
      <c r="B475" s="2">
        <v>40574</v>
      </c>
      <c r="C475" s="2">
        <v>40574</v>
      </c>
      <c r="D475" s="2">
        <v>40619</v>
      </c>
      <c r="E475" s="2"/>
      <c r="F475" t="s">
        <v>2</v>
      </c>
      <c r="G475" s="3">
        <v>45</v>
      </c>
      <c r="H475" s="4">
        <v>39755.64</v>
      </c>
      <c r="I475" t="s">
        <v>3</v>
      </c>
      <c r="J475" s="6">
        <v>1400000006</v>
      </c>
      <c r="K475" t="s">
        <v>0</v>
      </c>
      <c r="L475" s="3">
        <v>3466</v>
      </c>
      <c r="M475" s="3">
        <v>3435</v>
      </c>
      <c r="N475" t="s">
        <v>4</v>
      </c>
      <c r="O475" s="6">
        <v>1050</v>
      </c>
      <c r="P475" s="12">
        <f t="shared" si="14"/>
        <v>289</v>
      </c>
      <c r="Q475" t="str">
        <f t="shared" si="15"/>
        <v>④만기경과 후 7~12개월</v>
      </c>
    </row>
    <row r="476" spans="1:17" ht="13.95" customHeight="1" outlineLevel="3" x14ac:dyDescent="0.25">
      <c r="A476" t="s">
        <v>1</v>
      </c>
      <c r="B476" s="2">
        <v>40574</v>
      </c>
      <c r="C476" s="2">
        <v>40574</v>
      </c>
      <c r="D476" s="2">
        <v>40619</v>
      </c>
      <c r="E476" s="2"/>
      <c r="F476" t="s">
        <v>2</v>
      </c>
      <c r="G476" s="3">
        <v>45</v>
      </c>
      <c r="H476" s="4">
        <v>40643.26</v>
      </c>
      <c r="I476" t="s">
        <v>3</v>
      </c>
      <c r="J476" s="6">
        <v>1400000005</v>
      </c>
      <c r="K476" t="s">
        <v>0</v>
      </c>
      <c r="L476" s="3">
        <v>3466</v>
      </c>
      <c r="M476" s="3">
        <v>3435</v>
      </c>
      <c r="N476" t="s">
        <v>4</v>
      </c>
      <c r="O476" s="6">
        <v>1050</v>
      </c>
      <c r="P476" s="12">
        <f t="shared" si="14"/>
        <v>289</v>
      </c>
      <c r="Q476" t="str">
        <f t="shared" si="15"/>
        <v>④만기경과 후 7~12개월</v>
      </c>
    </row>
    <row r="477" spans="1:17" ht="13.95" customHeight="1" outlineLevel="3" x14ac:dyDescent="0.25">
      <c r="A477" t="s">
        <v>1</v>
      </c>
      <c r="B477" s="2">
        <v>40574</v>
      </c>
      <c r="C477" s="2">
        <v>40574</v>
      </c>
      <c r="D477" s="2">
        <v>40619</v>
      </c>
      <c r="E477" s="2"/>
      <c r="F477" t="s">
        <v>2</v>
      </c>
      <c r="G477" s="3">
        <v>45</v>
      </c>
      <c r="H477" s="4">
        <v>23729.08</v>
      </c>
      <c r="I477" t="s">
        <v>3</v>
      </c>
      <c r="J477" s="6">
        <v>1400000004</v>
      </c>
      <c r="K477" t="s">
        <v>0</v>
      </c>
      <c r="L477" s="3">
        <v>3466</v>
      </c>
      <c r="M477" s="3">
        <v>3435</v>
      </c>
      <c r="N477" t="s">
        <v>4</v>
      </c>
      <c r="O477" s="6">
        <v>1050</v>
      </c>
      <c r="P477" s="12">
        <f t="shared" si="14"/>
        <v>289</v>
      </c>
      <c r="Q477" t="str">
        <f t="shared" si="15"/>
        <v>④만기경과 후 7~12개월</v>
      </c>
    </row>
    <row r="478" spans="1:17" ht="13.95" customHeight="1" outlineLevel="3" x14ac:dyDescent="0.25">
      <c r="A478" t="s">
        <v>1</v>
      </c>
      <c r="B478" s="2">
        <v>40574</v>
      </c>
      <c r="C478" s="2">
        <v>40574</v>
      </c>
      <c r="D478" s="2">
        <v>40619</v>
      </c>
      <c r="E478" s="2"/>
      <c r="F478" t="s">
        <v>2</v>
      </c>
      <c r="G478" s="3">
        <v>45</v>
      </c>
      <c r="H478" s="4">
        <v>36141.49</v>
      </c>
      <c r="I478" t="s">
        <v>3</v>
      </c>
      <c r="J478" s="6">
        <v>1400000003</v>
      </c>
      <c r="K478" t="s">
        <v>0</v>
      </c>
      <c r="L478" s="3">
        <v>3466</v>
      </c>
      <c r="M478" s="3">
        <v>3435</v>
      </c>
      <c r="N478" t="s">
        <v>4</v>
      </c>
      <c r="O478" s="6">
        <v>1050</v>
      </c>
      <c r="P478" s="12">
        <f t="shared" si="14"/>
        <v>289</v>
      </c>
      <c r="Q478" t="str">
        <f t="shared" si="15"/>
        <v>④만기경과 후 7~12개월</v>
      </c>
    </row>
    <row r="479" spans="1:17" ht="13.95" customHeight="1" outlineLevel="3" x14ac:dyDescent="0.25">
      <c r="A479" t="s">
        <v>1</v>
      </c>
      <c r="B479" s="2">
        <v>40543</v>
      </c>
      <c r="C479" s="2">
        <v>40543</v>
      </c>
      <c r="D479" s="2">
        <v>40588</v>
      </c>
      <c r="E479" s="2"/>
      <c r="F479" t="s">
        <v>2</v>
      </c>
      <c r="G479" s="3">
        <v>45</v>
      </c>
      <c r="H479" s="4">
        <v>44707.59</v>
      </c>
      <c r="I479" t="s">
        <v>3</v>
      </c>
      <c r="J479" s="6">
        <v>1400000348</v>
      </c>
      <c r="K479" t="s">
        <v>0</v>
      </c>
      <c r="L479" s="3">
        <v>3497</v>
      </c>
      <c r="M479" s="3">
        <v>3466</v>
      </c>
      <c r="N479" t="s">
        <v>4</v>
      </c>
      <c r="O479" s="6">
        <v>1050</v>
      </c>
      <c r="P479" s="12">
        <f t="shared" si="14"/>
        <v>320</v>
      </c>
      <c r="Q479" t="str">
        <f t="shared" si="15"/>
        <v>④만기경과 후 7~12개월</v>
      </c>
    </row>
    <row r="480" spans="1:17" ht="13.95" customHeight="1" outlineLevel="3" x14ac:dyDescent="0.25">
      <c r="A480" t="s">
        <v>1</v>
      </c>
      <c r="B480" s="2">
        <v>40543</v>
      </c>
      <c r="C480" s="2">
        <v>40543</v>
      </c>
      <c r="D480" s="2">
        <v>40588</v>
      </c>
      <c r="E480" s="2"/>
      <c r="F480" t="s">
        <v>2</v>
      </c>
      <c r="G480" s="3">
        <v>45</v>
      </c>
      <c r="H480" s="4">
        <v>23729.08</v>
      </c>
      <c r="I480" t="s">
        <v>3</v>
      </c>
      <c r="J480" s="6">
        <v>1400000347</v>
      </c>
      <c r="K480" t="s">
        <v>0</v>
      </c>
      <c r="L480" s="3">
        <v>3497</v>
      </c>
      <c r="M480" s="3">
        <v>3466</v>
      </c>
      <c r="N480" t="s">
        <v>4</v>
      </c>
      <c r="O480" s="6">
        <v>1050</v>
      </c>
      <c r="P480" s="12">
        <f t="shared" si="14"/>
        <v>320</v>
      </c>
      <c r="Q480" t="str">
        <f t="shared" si="15"/>
        <v>④만기경과 후 7~12개월</v>
      </c>
    </row>
    <row r="481" spans="1:17" ht="13.95" customHeight="1" outlineLevel="3" x14ac:dyDescent="0.25">
      <c r="A481" t="s">
        <v>1</v>
      </c>
      <c r="B481" s="2">
        <v>40543</v>
      </c>
      <c r="C481" s="2">
        <v>40543</v>
      </c>
      <c r="D481" s="2">
        <v>40588</v>
      </c>
      <c r="E481" s="2"/>
      <c r="F481" t="s">
        <v>2</v>
      </c>
      <c r="G481" s="3">
        <v>45</v>
      </c>
      <c r="H481" s="4">
        <v>36141.49</v>
      </c>
      <c r="I481" t="s">
        <v>3</v>
      </c>
      <c r="J481" s="6">
        <v>1400000346</v>
      </c>
      <c r="K481" t="s">
        <v>0</v>
      </c>
      <c r="L481" s="3">
        <v>3497</v>
      </c>
      <c r="M481" s="3">
        <v>3466</v>
      </c>
      <c r="N481" t="s">
        <v>4</v>
      </c>
      <c r="O481" s="6">
        <v>1050</v>
      </c>
      <c r="P481" s="12">
        <f t="shared" si="14"/>
        <v>320</v>
      </c>
      <c r="Q481" t="str">
        <f t="shared" si="15"/>
        <v>④만기경과 후 7~12개월</v>
      </c>
    </row>
    <row r="482" spans="1:17" ht="13.95" customHeight="1" outlineLevel="3" x14ac:dyDescent="0.25">
      <c r="A482" t="s">
        <v>1</v>
      </c>
      <c r="B482" s="2">
        <v>40543</v>
      </c>
      <c r="C482" s="2">
        <v>40543</v>
      </c>
      <c r="D482" s="2">
        <v>40588</v>
      </c>
      <c r="E482" s="2"/>
      <c r="F482" t="s">
        <v>2</v>
      </c>
      <c r="G482" s="3">
        <v>45</v>
      </c>
      <c r="H482" s="4">
        <v>48771.91</v>
      </c>
      <c r="I482" t="s">
        <v>3</v>
      </c>
      <c r="J482" s="6">
        <v>1400000345</v>
      </c>
      <c r="K482" t="s">
        <v>0</v>
      </c>
      <c r="L482" s="3">
        <v>3497</v>
      </c>
      <c r="M482" s="3">
        <v>3466</v>
      </c>
      <c r="N482" t="s">
        <v>4</v>
      </c>
      <c r="O482" s="6">
        <v>1050</v>
      </c>
      <c r="P482" s="12">
        <f t="shared" si="14"/>
        <v>320</v>
      </c>
      <c r="Q482" t="str">
        <f t="shared" si="15"/>
        <v>④만기경과 후 7~12개월</v>
      </c>
    </row>
    <row r="483" spans="1:17" ht="13.95" customHeight="1" outlineLevel="3" x14ac:dyDescent="0.25">
      <c r="A483" t="s">
        <v>1</v>
      </c>
      <c r="B483" s="2">
        <v>40543</v>
      </c>
      <c r="C483" s="2">
        <v>40543</v>
      </c>
      <c r="D483" s="2">
        <v>40588</v>
      </c>
      <c r="E483" s="2"/>
      <c r="F483" t="s">
        <v>2</v>
      </c>
      <c r="G483" s="3">
        <v>45</v>
      </c>
      <c r="H483" s="4">
        <v>27683.919999999998</v>
      </c>
      <c r="I483" t="s">
        <v>3</v>
      </c>
      <c r="J483" s="6">
        <v>1400000344</v>
      </c>
      <c r="K483" t="s">
        <v>0</v>
      </c>
      <c r="L483" s="3">
        <v>3497</v>
      </c>
      <c r="M483" s="3">
        <v>3466</v>
      </c>
      <c r="N483" t="s">
        <v>4</v>
      </c>
      <c r="O483" s="6">
        <v>1050</v>
      </c>
      <c r="P483" s="12">
        <f t="shared" si="14"/>
        <v>320</v>
      </c>
      <c r="Q483" t="str">
        <f t="shared" si="15"/>
        <v>④만기경과 후 7~12개월</v>
      </c>
    </row>
    <row r="484" spans="1:17" ht="13.95" customHeight="1" outlineLevel="3" x14ac:dyDescent="0.25">
      <c r="A484" t="s">
        <v>1</v>
      </c>
      <c r="B484" s="2">
        <v>40543</v>
      </c>
      <c r="C484" s="2">
        <v>40543</v>
      </c>
      <c r="D484" s="2">
        <v>40588</v>
      </c>
      <c r="E484" s="2"/>
      <c r="F484" t="s">
        <v>2</v>
      </c>
      <c r="G484" s="3">
        <v>45</v>
      </c>
      <c r="H484" s="4">
        <v>32527.34</v>
      </c>
      <c r="I484" t="s">
        <v>3</v>
      </c>
      <c r="J484" s="6">
        <v>1400000343</v>
      </c>
      <c r="K484" t="s">
        <v>0</v>
      </c>
      <c r="L484" s="3">
        <v>3497</v>
      </c>
      <c r="M484" s="3">
        <v>3466</v>
      </c>
      <c r="N484" t="s">
        <v>4</v>
      </c>
      <c r="O484" s="6">
        <v>1050</v>
      </c>
      <c r="P484" s="12">
        <f t="shared" si="14"/>
        <v>320</v>
      </c>
      <c r="Q484" t="str">
        <f t="shared" si="15"/>
        <v>④만기경과 후 7~12개월</v>
      </c>
    </row>
    <row r="485" spans="1:17" ht="13.95" customHeight="1" outlineLevel="3" x14ac:dyDescent="0.25">
      <c r="A485" t="s">
        <v>1</v>
      </c>
      <c r="B485" s="2">
        <v>40512</v>
      </c>
      <c r="C485" s="2">
        <v>40512</v>
      </c>
      <c r="D485" s="2">
        <v>40557</v>
      </c>
      <c r="E485" s="2"/>
      <c r="F485" t="s">
        <v>2</v>
      </c>
      <c r="G485" s="3">
        <v>45</v>
      </c>
      <c r="H485" s="4">
        <v>48771.91</v>
      </c>
      <c r="I485" t="s">
        <v>3</v>
      </c>
      <c r="J485" s="6">
        <v>1400000310</v>
      </c>
      <c r="K485" t="s">
        <v>0</v>
      </c>
      <c r="L485" s="3">
        <v>3528</v>
      </c>
      <c r="M485" s="3">
        <v>3497</v>
      </c>
      <c r="N485" t="s">
        <v>4</v>
      </c>
      <c r="O485" s="6">
        <v>1050</v>
      </c>
      <c r="P485" s="12">
        <f t="shared" si="14"/>
        <v>351</v>
      </c>
      <c r="Q485" t="str">
        <f t="shared" si="15"/>
        <v>④만기경과 후 7~12개월</v>
      </c>
    </row>
    <row r="486" spans="1:17" ht="13.95" customHeight="1" outlineLevel="3" x14ac:dyDescent="0.25">
      <c r="A486" t="s">
        <v>1</v>
      </c>
      <c r="B486" s="2">
        <v>40512</v>
      </c>
      <c r="C486" s="2">
        <v>40512</v>
      </c>
      <c r="D486" s="2">
        <v>40557</v>
      </c>
      <c r="E486" s="2"/>
      <c r="F486" t="s">
        <v>2</v>
      </c>
      <c r="G486" s="3">
        <v>45</v>
      </c>
      <c r="H486" s="4">
        <v>31638.77</v>
      </c>
      <c r="I486" t="s">
        <v>3</v>
      </c>
      <c r="J486" s="6">
        <v>1400000309</v>
      </c>
      <c r="K486" t="s">
        <v>0</v>
      </c>
      <c r="L486" s="3">
        <v>3528</v>
      </c>
      <c r="M486" s="3">
        <v>3497</v>
      </c>
      <c r="N486" t="s">
        <v>4</v>
      </c>
      <c r="O486" s="6">
        <v>1050</v>
      </c>
      <c r="P486" s="12">
        <f t="shared" si="14"/>
        <v>351</v>
      </c>
      <c r="Q486" t="str">
        <f t="shared" si="15"/>
        <v>④만기경과 후 7~12개월</v>
      </c>
    </row>
    <row r="487" spans="1:17" ht="13.95" customHeight="1" outlineLevel="3" x14ac:dyDescent="0.25">
      <c r="A487" t="s">
        <v>1</v>
      </c>
      <c r="B487" s="2">
        <v>40512</v>
      </c>
      <c r="C487" s="2">
        <v>40512</v>
      </c>
      <c r="D487" s="2">
        <v>40557</v>
      </c>
      <c r="E487" s="2"/>
      <c r="F487" t="s">
        <v>2</v>
      </c>
      <c r="G487" s="3">
        <v>45</v>
      </c>
      <c r="H487" s="4">
        <v>32527.34</v>
      </c>
      <c r="I487" t="s">
        <v>3</v>
      </c>
      <c r="J487" s="6">
        <v>1400000308</v>
      </c>
      <c r="K487" t="s">
        <v>0</v>
      </c>
      <c r="L487" s="3">
        <v>3528</v>
      </c>
      <c r="M487" s="3">
        <v>3497</v>
      </c>
      <c r="N487" t="s">
        <v>4</v>
      </c>
      <c r="O487" s="6">
        <v>1050</v>
      </c>
      <c r="P487" s="12">
        <f t="shared" si="14"/>
        <v>351</v>
      </c>
      <c r="Q487" t="str">
        <f t="shared" si="15"/>
        <v>④만기경과 후 7~12개월</v>
      </c>
    </row>
    <row r="488" spans="1:17" ht="13.95" customHeight="1" outlineLevel="3" x14ac:dyDescent="0.25">
      <c r="A488" t="s">
        <v>1</v>
      </c>
      <c r="B488" s="2">
        <v>40512</v>
      </c>
      <c r="C488" s="2">
        <v>40512</v>
      </c>
      <c r="D488" s="2">
        <v>40557</v>
      </c>
      <c r="E488" s="2"/>
      <c r="F488" t="s">
        <v>2</v>
      </c>
      <c r="G488" s="3">
        <v>45</v>
      </c>
      <c r="H488" s="4">
        <v>52836.24</v>
      </c>
      <c r="I488" t="s">
        <v>3</v>
      </c>
      <c r="J488" s="6">
        <v>1400000307</v>
      </c>
      <c r="K488" t="s">
        <v>0</v>
      </c>
      <c r="L488" s="3">
        <v>3528</v>
      </c>
      <c r="M488" s="3">
        <v>3497</v>
      </c>
      <c r="N488" t="s">
        <v>4</v>
      </c>
      <c r="O488" s="6">
        <v>1050</v>
      </c>
      <c r="P488" s="12">
        <f t="shared" si="14"/>
        <v>351</v>
      </c>
      <c r="Q488" t="str">
        <f t="shared" si="15"/>
        <v>④만기경과 후 7~12개월</v>
      </c>
    </row>
    <row r="489" spans="1:17" ht="13.95" customHeight="1" outlineLevel="3" x14ac:dyDescent="0.25">
      <c r="A489" t="s">
        <v>1</v>
      </c>
      <c r="B489" s="2">
        <v>40512</v>
      </c>
      <c r="C489" s="2">
        <v>40512</v>
      </c>
      <c r="D489" s="2">
        <v>40557</v>
      </c>
      <c r="E489" s="2"/>
      <c r="F489" t="s">
        <v>2</v>
      </c>
      <c r="G489" s="3">
        <v>45</v>
      </c>
      <c r="H489" s="4">
        <v>35593.61</v>
      </c>
      <c r="I489" t="s">
        <v>3</v>
      </c>
      <c r="J489" s="6">
        <v>1400000306</v>
      </c>
      <c r="K489" t="s">
        <v>0</v>
      </c>
      <c r="L489" s="3">
        <v>3528</v>
      </c>
      <c r="M489" s="3">
        <v>3497</v>
      </c>
      <c r="N489" t="s">
        <v>4</v>
      </c>
      <c r="O489" s="6">
        <v>1050</v>
      </c>
      <c r="P489" s="12">
        <f t="shared" si="14"/>
        <v>351</v>
      </c>
      <c r="Q489" t="str">
        <f t="shared" si="15"/>
        <v>④만기경과 후 7~12개월</v>
      </c>
    </row>
    <row r="490" spans="1:17" ht="13.95" customHeight="1" outlineLevel="3" x14ac:dyDescent="0.25">
      <c r="A490" t="s">
        <v>1</v>
      </c>
      <c r="B490" s="2">
        <v>40512</v>
      </c>
      <c r="C490" s="2">
        <v>40512</v>
      </c>
      <c r="D490" s="2">
        <v>40557</v>
      </c>
      <c r="E490" s="2"/>
      <c r="F490" t="s">
        <v>2</v>
      </c>
      <c r="G490" s="3">
        <v>45</v>
      </c>
      <c r="H490" s="4">
        <v>28913.19</v>
      </c>
      <c r="I490" t="s">
        <v>3</v>
      </c>
      <c r="J490" s="6">
        <v>1400000305</v>
      </c>
      <c r="K490" t="s">
        <v>0</v>
      </c>
      <c r="L490" s="3">
        <v>3528</v>
      </c>
      <c r="M490" s="3">
        <v>3497</v>
      </c>
      <c r="N490" t="s">
        <v>4</v>
      </c>
      <c r="O490" s="6">
        <v>1050</v>
      </c>
      <c r="P490" s="12">
        <f t="shared" si="14"/>
        <v>351</v>
      </c>
      <c r="Q490" t="str">
        <f t="shared" si="15"/>
        <v>④만기경과 후 7~12개월</v>
      </c>
    </row>
    <row r="491" spans="1:17" ht="13.95" customHeight="1" outlineLevel="3" x14ac:dyDescent="0.25">
      <c r="A491" t="s">
        <v>1</v>
      </c>
      <c r="B491" s="2">
        <v>40482</v>
      </c>
      <c r="C491" s="2">
        <v>40482</v>
      </c>
      <c r="D491" s="2">
        <v>40527</v>
      </c>
      <c r="E491" s="2"/>
      <c r="F491" t="s">
        <v>2</v>
      </c>
      <c r="G491" s="3">
        <v>45</v>
      </c>
      <c r="H491" s="4">
        <v>52836.24</v>
      </c>
      <c r="I491" t="s">
        <v>3</v>
      </c>
      <c r="J491" s="6">
        <v>1400000279</v>
      </c>
      <c r="K491" t="s">
        <v>0</v>
      </c>
      <c r="L491" s="3">
        <v>3558</v>
      </c>
      <c r="M491" s="3">
        <v>3527</v>
      </c>
      <c r="N491" t="s">
        <v>4</v>
      </c>
      <c r="O491" s="6">
        <v>1050</v>
      </c>
      <c r="P491" s="12">
        <f t="shared" si="14"/>
        <v>381</v>
      </c>
      <c r="Q491" t="str">
        <f t="shared" si="15"/>
        <v>⑤만기경과 후 12개월 초과</v>
      </c>
    </row>
    <row r="492" spans="1:17" ht="13.95" customHeight="1" outlineLevel="3" x14ac:dyDescent="0.25">
      <c r="A492" t="s">
        <v>1</v>
      </c>
      <c r="B492" s="2">
        <v>40268</v>
      </c>
      <c r="C492" s="2">
        <v>40268</v>
      </c>
      <c r="D492" s="2">
        <v>40313</v>
      </c>
      <c r="E492" s="2"/>
      <c r="F492" t="s">
        <v>2</v>
      </c>
      <c r="G492" s="3">
        <v>45</v>
      </c>
      <c r="H492" s="4">
        <v>46983.94</v>
      </c>
      <c r="I492" t="s">
        <v>3</v>
      </c>
      <c r="J492" s="6">
        <v>1400000021</v>
      </c>
      <c r="K492" t="s">
        <v>0</v>
      </c>
      <c r="L492" s="3">
        <v>3772</v>
      </c>
      <c r="M492" s="3">
        <v>3741</v>
      </c>
      <c r="N492" t="s">
        <v>4</v>
      </c>
      <c r="O492" s="6">
        <v>1050</v>
      </c>
      <c r="P492" s="12">
        <f t="shared" si="14"/>
        <v>595</v>
      </c>
      <c r="Q492" t="str">
        <f t="shared" si="15"/>
        <v>⑤만기경과 후 12개월 초과</v>
      </c>
    </row>
    <row r="493" spans="1:17" ht="13.95" customHeight="1" outlineLevel="3" x14ac:dyDescent="0.25">
      <c r="A493" t="s">
        <v>1</v>
      </c>
      <c r="B493" s="2">
        <v>40237</v>
      </c>
      <c r="C493" s="2">
        <v>40237</v>
      </c>
      <c r="D493" s="2">
        <v>40282</v>
      </c>
      <c r="E493" s="2"/>
      <c r="F493" t="s">
        <v>2</v>
      </c>
      <c r="G493" s="3">
        <v>45</v>
      </c>
      <c r="H493" s="4">
        <v>40643.26</v>
      </c>
      <c r="I493" t="s">
        <v>3</v>
      </c>
      <c r="J493" s="6">
        <v>1400000017</v>
      </c>
      <c r="K493" t="s">
        <v>0</v>
      </c>
      <c r="L493" s="3">
        <v>3803</v>
      </c>
      <c r="M493" s="3">
        <v>3772</v>
      </c>
      <c r="N493" t="s">
        <v>4</v>
      </c>
      <c r="O493" s="6">
        <v>1050</v>
      </c>
      <c r="P493" s="12">
        <f t="shared" si="14"/>
        <v>626</v>
      </c>
      <c r="Q493" t="str">
        <f t="shared" si="15"/>
        <v>⑤만기경과 후 12개월 초과</v>
      </c>
    </row>
    <row r="494" spans="1:17" ht="13.95" customHeight="1" outlineLevel="3" x14ac:dyDescent="0.25">
      <c r="A494" t="s">
        <v>1</v>
      </c>
      <c r="B494" s="2">
        <v>40237</v>
      </c>
      <c r="C494" s="2">
        <v>40237</v>
      </c>
      <c r="D494" s="2">
        <v>40282</v>
      </c>
      <c r="E494" s="2"/>
      <c r="F494" t="s">
        <v>2</v>
      </c>
      <c r="G494" s="3">
        <v>45</v>
      </c>
      <c r="H494" s="4">
        <v>31638.77</v>
      </c>
      <c r="I494" t="s">
        <v>3</v>
      </c>
      <c r="J494" s="6">
        <v>1400000016</v>
      </c>
      <c r="K494" t="s">
        <v>0</v>
      </c>
      <c r="L494" s="3">
        <v>3803</v>
      </c>
      <c r="M494" s="3">
        <v>3772</v>
      </c>
      <c r="N494" t="s">
        <v>4</v>
      </c>
      <c r="O494" s="6">
        <v>1050</v>
      </c>
      <c r="P494" s="12">
        <f t="shared" si="14"/>
        <v>626</v>
      </c>
      <c r="Q494" t="str">
        <f t="shared" si="15"/>
        <v>⑤만기경과 후 12개월 초과</v>
      </c>
    </row>
    <row r="495" spans="1:17" ht="13.95" customHeight="1" outlineLevel="3" x14ac:dyDescent="0.25">
      <c r="A495" t="s">
        <v>1</v>
      </c>
      <c r="B495" s="2">
        <v>40237</v>
      </c>
      <c r="C495" s="2">
        <v>40237</v>
      </c>
      <c r="D495" s="2">
        <v>40282</v>
      </c>
      <c r="E495" s="2"/>
      <c r="F495" t="s">
        <v>2</v>
      </c>
      <c r="G495" s="3">
        <v>45</v>
      </c>
      <c r="H495" s="4">
        <v>43369.79</v>
      </c>
      <c r="I495" t="s">
        <v>3</v>
      </c>
      <c r="J495" s="6">
        <v>1400000015</v>
      </c>
      <c r="K495" t="s">
        <v>0</v>
      </c>
      <c r="L495" s="3">
        <v>3803</v>
      </c>
      <c r="M495" s="3">
        <v>3772</v>
      </c>
      <c r="N495" t="s">
        <v>4</v>
      </c>
      <c r="O495" s="6">
        <v>1050</v>
      </c>
      <c r="P495" s="12">
        <f t="shared" si="14"/>
        <v>626</v>
      </c>
      <c r="Q495" t="str">
        <f t="shared" si="15"/>
        <v>⑤만기경과 후 12개월 초과</v>
      </c>
    </row>
    <row r="496" spans="1:17" ht="13.95" customHeight="1" outlineLevel="3" x14ac:dyDescent="0.25">
      <c r="A496" t="s">
        <v>1</v>
      </c>
      <c r="B496" s="2">
        <v>40237</v>
      </c>
      <c r="C496" s="2">
        <v>40237</v>
      </c>
      <c r="D496" s="2">
        <v>40282</v>
      </c>
      <c r="E496" s="2"/>
      <c r="F496" t="s">
        <v>2</v>
      </c>
      <c r="G496" s="3">
        <v>45</v>
      </c>
      <c r="H496" s="4">
        <v>36578.93</v>
      </c>
      <c r="I496" t="s">
        <v>3</v>
      </c>
      <c r="J496" s="6">
        <v>1400000014</v>
      </c>
      <c r="K496" t="s">
        <v>0</v>
      </c>
      <c r="L496" s="3">
        <v>3803</v>
      </c>
      <c r="M496" s="3">
        <v>3772</v>
      </c>
      <c r="N496" t="s">
        <v>4</v>
      </c>
      <c r="O496" s="6">
        <v>1050</v>
      </c>
      <c r="P496" s="12">
        <f t="shared" si="14"/>
        <v>626</v>
      </c>
      <c r="Q496" t="str">
        <f t="shared" si="15"/>
        <v>⑤만기경과 후 12개월 초과</v>
      </c>
    </row>
    <row r="497" spans="1:17" ht="13.95" customHeight="1" outlineLevel="3" x14ac:dyDescent="0.25">
      <c r="A497" t="s">
        <v>1</v>
      </c>
      <c r="B497" s="2">
        <v>40237</v>
      </c>
      <c r="C497" s="2">
        <v>40237</v>
      </c>
      <c r="D497" s="2">
        <v>40282</v>
      </c>
      <c r="E497" s="2"/>
      <c r="F497" t="s">
        <v>2</v>
      </c>
      <c r="G497" s="3">
        <v>45</v>
      </c>
      <c r="H497" s="4">
        <v>23729.08</v>
      </c>
      <c r="I497" t="s">
        <v>3</v>
      </c>
      <c r="J497" s="6">
        <v>1400000013</v>
      </c>
      <c r="K497" t="s">
        <v>0</v>
      </c>
      <c r="L497" s="3">
        <v>3803</v>
      </c>
      <c r="M497" s="3">
        <v>3772</v>
      </c>
      <c r="N497" t="s">
        <v>4</v>
      </c>
      <c r="O497" s="6">
        <v>1050</v>
      </c>
      <c r="P497" s="12">
        <f t="shared" si="14"/>
        <v>626</v>
      </c>
      <c r="Q497" t="str">
        <f t="shared" si="15"/>
        <v>⑤만기경과 후 12개월 초과</v>
      </c>
    </row>
    <row r="498" spans="1:17" ht="13.95" customHeight="1" outlineLevel="3" x14ac:dyDescent="0.25">
      <c r="A498" t="s">
        <v>1</v>
      </c>
      <c r="B498" s="2">
        <v>40237</v>
      </c>
      <c r="C498" s="2">
        <v>40237</v>
      </c>
      <c r="D498" s="2">
        <v>40282</v>
      </c>
      <c r="E498" s="2"/>
      <c r="F498" t="s">
        <v>2</v>
      </c>
      <c r="G498" s="3">
        <v>45</v>
      </c>
      <c r="H498" s="4">
        <v>50598.09</v>
      </c>
      <c r="I498" t="s">
        <v>3</v>
      </c>
      <c r="J498" s="6">
        <v>1400000012</v>
      </c>
      <c r="K498" t="s">
        <v>0</v>
      </c>
      <c r="L498" s="3">
        <v>3803</v>
      </c>
      <c r="M498" s="3">
        <v>3772</v>
      </c>
      <c r="N498" t="s">
        <v>4</v>
      </c>
      <c r="O498" s="6">
        <v>1050</v>
      </c>
      <c r="P498" s="12">
        <f t="shared" si="14"/>
        <v>626</v>
      </c>
      <c r="Q498" t="str">
        <f t="shared" si="15"/>
        <v>⑤만기경과 후 12개월 초과</v>
      </c>
    </row>
    <row r="499" spans="1:17" ht="13.95" customHeight="1" outlineLevel="3" x14ac:dyDescent="0.25">
      <c r="A499" t="s">
        <v>1</v>
      </c>
      <c r="B499" s="2">
        <v>40209</v>
      </c>
      <c r="C499" s="2">
        <v>40209</v>
      </c>
      <c r="D499" s="2">
        <v>40254</v>
      </c>
      <c r="E499" s="2"/>
      <c r="F499" t="s">
        <v>2</v>
      </c>
      <c r="G499" s="3">
        <v>45</v>
      </c>
      <c r="H499" s="4">
        <v>36578.93</v>
      </c>
      <c r="I499" t="s">
        <v>3</v>
      </c>
      <c r="J499" s="6">
        <v>1400000008</v>
      </c>
      <c r="K499" t="s">
        <v>0</v>
      </c>
      <c r="L499" s="3">
        <v>3831</v>
      </c>
      <c r="M499" s="3">
        <v>3800</v>
      </c>
      <c r="N499" t="s">
        <v>4</v>
      </c>
      <c r="O499" s="6">
        <v>1050</v>
      </c>
      <c r="P499" s="12">
        <f t="shared" si="14"/>
        <v>654</v>
      </c>
      <c r="Q499" t="str">
        <f t="shared" si="15"/>
        <v>⑤만기경과 후 12개월 초과</v>
      </c>
    </row>
    <row r="500" spans="1:17" ht="13.95" customHeight="1" outlineLevel="3" x14ac:dyDescent="0.25">
      <c r="A500" t="s">
        <v>1</v>
      </c>
      <c r="B500" s="2">
        <v>40209</v>
      </c>
      <c r="C500" s="2">
        <v>40209</v>
      </c>
      <c r="D500" s="2">
        <v>40254</v>
      </c>
      <c r="E500" s="2"/>
      <c r="F500" t="s">
        <v>2</v>
      </c>
      <c r="G500" s="3">
        <v>45</v>
      </c>
      <c r="H500" s="4">
        <v>27683.919999999998</v>
      </c>
      <c r="I500" t="s">
        <v>3</v>
      </c>
      <c r="J500" s="6">
        <v>1400000007</v>
      </c>
      <c r="K500" t="s">
        <v>0</v>
      </c>
      <c r="L500" s="3">
        <v>3831</v>
      </c>
      <c r="M500" s="3">
        <v>3800</v>
      </c>
      <c r="N500" t="s">
        <v>4</v>
      </c>
      <c r="O500" s="6">
        <v>1050</v>
      </c>
      <c r="P500" s="12">
        <f t="shared" si="14"/>
        <v>654</v>
      </c>
      <c r="Q500" t="str">
        <f t="shared" si="15"/>
        <v>⑤만기경과 후 12개월 초과</v>
      </c>
    </row>
    <row r="501" spans="1:17" ht="13.95" customHeight="1" outlineLevel="3" x14ac:dyDescent="0.25">
      <c r="A501" t="s">
        <v>1</v>
      </c>
      <c r="B501" s="2">
        <v>40209</v>
      </c>
      <c r="C501" s="2">
        <v>40209</v>
      </c>
      <c r="D501" s="2">
        <v>40254</v>
      </c>
      <c r="E501" s="2"/>
      <c r="F501" t="s">
        <v>2</v>
      </c>
      <c r="G501" s="3">
        <v>45</v>
      </c>
      <c r="H501" s="4">
        <v>39755.64</v>
      </c>
      <c r="I501" t="s">
        <v>3</v>
      </c>
      <c r="J501" s="6">
        <v>1400000006</v>
      </c>
      <c r="K501" t="s">
        <v>0</v>
      </c>
      <c r="L501" s="3">
        <v>3831</v>
      </c>
      <c r="M501" s="3">
        <v>3800</v>
      </c>
      <c r="N501" t="s">
        <v>4</v>
      </c>
      <c r="O501" s="6">
        <v>1050</v>
      </c>
      <c r="P501" s="12">
        <f t="shared" si="14"/>
        <v>654</v>
      </c>
      <c r="Q501" t="str">
        <f t="shared" si="15"/>
        <v>⑤만기경과 후 12개월 초과</v>
      </c>
    </row>
    <row r="502" spans="1:17" ht="13.95" customHeight="1" outlineLevel="3" x14ac:dyDescent="0.25">
      <c r="A502" t="s">
        <v>1</v>
      </c>
      <c r="B502" s="2">
        <v>40209</v>
      </c>
      <c r="C502" s="2">
        <v>40209</v>
      </c>
      <c r="D502" s="2">
        <v>40254</v>
      </c>
      <c r="E502" s="2"/>
      <c r="F502" t="s">
        <v>2</v>
      </c>
      <c r="G502" s="3">
        <v>45</v>
      </c>
      <c r="H502" s="4">
        <v>40643.26</v>
      </c>
      <c r="I502" t="s">
        <v>3</v>
      </c>
      <c r="J502" s="6">
        <v>1400000005</v>
      </c>
      <c r="K502" t="s">
        <v>0</v>
      </c>
      <c r="L502" s="3">
        <v>3831</v>
      </c>
      <c r="M502" s="3">
        <v>3800</v>
      </c>
      <c r="N502" t="s">
        <v>4</v>
      </c>
      <c r="O502" s="6">
        <v>1050</v>
      </c>
      <c r="P502" s="12">
        <f t="shared" si="14"/>
        <v>654</v>
      </c>
      <c r="Q502" t="str">
        <f t="shared" si="15"/>
        <v>⑤만기경과 후 12개월 초과</v>
      </c>
    </row>
    <row r="503" spans="1:17" ht="13.95" customHeight="1" outlineLevel="3" x14ac:dyDescent="0.25">
      <c r="A503" t="s">
        <v>1</v>
      </c>
      <c r="B503" s="2">
        <v>40209</v>
      </c>
      <c r="C503" s="2">
        <v>40209</v>
      </c>
      <c r="D503" s="2">
        <v>40254</v>
      </c>
      <c r="E503" s="2"/>
      <c r="F503" t="s">
        <v>2</v>
      </c>
      <c r="G503" s="3">
        <v>45</v>
      </c>
      <c r="H503" s="4">
        <v>23729.08</v>
      </c>
      <c r="I503" t="s">
        <v>3</v>
      </c>
      <c r="J503" s="6">
        <v>1400000004</v>
      </c>
      <c r="K503" t="s">
        <v>0</v>
      </c>
      <c r="L503" s="3">
        <v>3831</v>
      </c>
      <c r="M503" s="3">
        <v>3800</v>
      </c>
      <c r="N503" t="s">
        <v>4</v>
      </c>
      <c r="O503" s="6">
        <v>1050</v>
      </c>
      <c r="P503" s="12">
        <f t="shared" si="14"/>
        <v>654</v>
      </c>
      <c r="Q503" t="str">
        <f t="shared" si="15"/>
        <v>⑤만기경과 후 12개월 초과</v>
      </c>
    </row>
    <row r="504" spans="1:17" ht="13.95" customHeight="1" outlineLevel="3" x14ac:dyDescent="0.25">
      <c r="A504" t="s">
        <v>1</v>
      </c>
      <c r="B504" s="2">
        <v>40209</v>
      </c>
      <c r="C504" s="2">
        <v>40209</v>
      </c>
      <c r="D504" s="2">
        <v>40254</v>
      </c>
      <c r="E504" s="2"/>
      <c r="F504" t="s">
        <v>2</v>
      </c>
      <c r="G504" s="3">
        <v>45</v>
      </c>
      <c r="H504" s="4">
        <v>36141.49</v>
      </c>
      <c r="I504" t="s">
        <v>3</v>
      </c>
      <c r="J504" s="6">
        <v>1400000003</v>
      </c>
      <c r="K504" t="s">
        <v>0</v>
      </c>
      <c r="L504" s="3">
        <v>3831</v>
      </c>
      <c r="M504" s="3">
        <v>3800</v>
      </c>
      <c r="N504" t="s">
        <v>4</v>
      </c>
      <c r="O504" s="6">
        <v>1050</v>
      </c>
      <c r="P504" s="12">
        <f t="shared" si="14"/>
        <v>654</v>
      </c>
      <c r="Q504" t="str">
        <f t="shared" si="15"/>
        <v>⑤만기경과 후 12개월 초과</v>
      </c>
    </row>
    <row r="505" spans="1:17" ht="13.95" customHeight="1" outlineLevel="3" x14ac:dyDescent="0.25">
      <c r="A505" t="s">
        <v>1</v>
      </c>
      <c r="B505" s="2">
        <v>40178</v>
      </c>
      <c r="C505" s="2">
        <v>40178</v>
      </c>
      <c r="D505" s="2">
        <v>40223</v>
      </c>
      <c r="E505" s="2"/>
      <c r="F505" t="s">
        <v>2</v>
      </c>
      <c r="G505" s="3">
        <v>45</v>
      </c>
      <c r="H505" s="4">
        <v>44707.59</v>
      </c>
      <c r="I505" t="s">
        <v>3</v>
      </c>
      <c r="J505" s="6">
        <v>1400000187</v>
      </c>
      <c r="K505" t="s">
        <v>0</v>
      </c>
      <c r="L505" s="3">
        <v>3862</v>
      </c>
      <c r="M505" s="3">
        <v>3831</v>
      </c>
      <c r="N505" t="s">
        <v>4</v>
      </c>
      <c r="O505" s="6">
        <v>1050</v>
      </c>
      <c r="P505" s="12">
        <f t="shared" si="14"/>
        <v>685</v>
      </c>
      <c r="Q505" t="str">
        <f t="shared" si="15"/>
        <v>⑤만기경과 후 12개월 초과</v>
      </c>
    </row>
    <row r="506" spans="1:17" ht="13.95" customHeight="1" outlineLevel="3" x14ac:dyDescent="0.25">
      <c r="A506" t="s">
        <v>1</v>
      </c>
      <c r="B506" s="2">
        <v>40178</v>
      </c>
      <c r="C506" s="2">
        <v>40178</v>
      </c>
      <c r="D506" s="2">
        <v>40223</v>
      </c>
      <c r="E506" s="2"/>
      <c r="F506" t="s">
        <v>2</v>
      </c>
      <c r="G506" s="3">
        <v>45</v>
      </c>
      <c r="H506" s="4">
        <v>23729.08</v>
      </c>
      <c r="I506" t="s">
        <v>3</v>
      </c>
      <c r="J506" s="6">
        <v>1400000186</v>
      </c>
      <c r="K506" t="s">
        <v>0</v>
      </c>
      <c r="L506" s="3">
        <v>3862</v>
      </c>
      <c r="M506" s="3">
        <v>3831</v>
      </c>
      <c r="N506" t="s">
        <v>4</v>
      </c>
      <c r="O506" s="6">
        <v>1050</v>
      </c>
      <c r="P506" s="12">
        <f t="shared" si="14"/>
        <v>685</v>
      </c>
      <c r="Q506" t="str">
        <f t="shared" si="15"/>
        <v>⑤만기경과 후 12개월 초과</v>
      </c>
    </row>
    <row r="507" spans="1:17" ht="13.95" customHeight="1" outlineLevel="3" x14ac:dyDescent="0.25">
      <c r="A507" t="s">
        <v>1</v>
      </c>
      <c r="B507" s="2">
        <v>40178</v>
      </c>
      <c r="C507" s="2">
        <v>40178</v>
      </c>
      <c r="D507" s="2">
        <v>40223</v>
      </c>
      <c r="E507" s="2"/>
      <c r="F507" t="s">
        <v>2</v>
      </c>
      <c r="G507" s="3">
        <v>45</v>
      </c>
      <c r="H507" s="4">
        <v>36141.49</v>
      </c>
      <c r="I507" t="s">
        <v>3</v>
      </c>
      <c r="J507" s="6">
        <v>1400000185</v>
      </c>
      <c r="K507" t="s">
        <v>0</v>
      </c>
      <c r="L507" s="3">
        <v>3862</v>
      </c>
      <c r="M507" s="3">
        <v>3831</v>
      </c>
      <c r="N507" t="s">
        <v>4</v>
      </c>
      <c r="O507" s="6">
        <v>1050</v>
      </c>
      <c r="P507" s="12">
        <f t="shared" si="14"/>
        <v>685</v>
      </c>
      <c r="Q507" t="str">
        <f t="shared" si="15"/>
        <v>⑤만기경과 후 12개월 초과</v>
      </c>
    </row>
    <row r="508" spans="1:17" ht="13.95" customHeight="1" outlineLevel="3" x14ac:dyDescent="0.25">
      <c r="A508" t="s">
        <v>1</v>
      </c>
      <c r="B508" s="2">
        <v>40178</v>
      </c>
      <c r="C508" s="2">
        <v>40178</v>
      </c>
      <c r="D508" s="2">
        <v>40223</v>
      </c>
      <c r="E508" s="2"/>
      <c r="F508" t="s">
        <v>2</v>
      </c>
      <c r="G508" s="3">
        <v>45</v>
      </c>
      <c r="H508" s="4">
        <v>48771.91</v>
      </c>
      <c r="I508" t="s">
        <v>3</v>
      </c>
      <c r="J508" s="6">
        <v>1400000184</v>
      </c>
      <c r="K508" t="s">
        <v>0</v>
      </c>
      <c r="L508" s="3">
        <v>3862</v>
      </c>
      <c r="M508" s="3">
        <v>3831</v>
      </c>
      <c r="N508" t="s">
        <v>4</v>
      </c>
      <c r="O508" s="6">
        <v>1050</v>
      </c>
      <c r="P508" s="12">
        <f t="shared" si="14"/>
        <v>685</v>
      </c>
      <c r="Q508" t="str">
        <f t="shared" si="15"/>
        <v>⑤만기경과 후 12개월 초과</v>
      </c>
    </row>
    <row r="509" spans="1:17" ht="13.95" customHeight="1" outlineLevel="3" x14ac:dyDescent="0.25">
      <c r="A509" t="s">
        <v>1</v>
      </c>
      <c r="B509" s="2">
        <v>40178</v>
      </c>
      <c r="C509" s="2">
        <v>40178</v>
      </c>
      <c r="D509" s="2">
        <v>40223</v>
      </c>
      <c r="E509" s="2"/>
      <c r="F509" t="s">
        <v>2</v>
      </c>
      <c r="G509" s="3">
        <v>45</v>
      </c>
      <c r="H509" s="4">
        <v>27683.919999999998</v>
      </c>
      <c r="I509" t="s">
        <v>3</v>
      </c>
      <c r="J509" s="6">
        <v>1400000183</v>
      </c>
      <c r="K509" t="s">
        <v>0</v>
      </c>
      <c r="L509" s="3">
        <v>3862</v>
      </c>
      <c r="M509" s="3">
        <v>3831</v>
      </c>
      <c r="N509" t="s">
        <v>4</v>
      </c>
      <c r="O509" s="6">
        <v>1050</v>
      </c>
      <c r="P509" s="12">
        <f t="shared" si="14"/>
        <v>685</v>
      </c>
      <c r="Q509" t="str">
        <f t="shared" si="15"/>
        <v>⑤만기경과 후 12개월 초과</v>
      </c>
    </row>
    <row r="510" spans="1:17" ht="13.95" customHeight="1" outlineLevel="3" x14ac:dyDescent="0.25">
      <c r="A510" t="s">
        <v>1</v>
      </c>
      <c r="B510" s="2">
        <v>40178</v>
      </c>
      <c r="C510" s="2">
        <v>40178</v>
      </c>
      <c r="D510" s="2">
        <v>40223</v>
      </c>
      <c r="E510" s="2"/>
      <c r="F510" t="s">
        <v>2</v>
      </c>
      <c r="G510" s="3">
        <v>45</v>
      </c>
      <c r="H510" s="4">
        <v>32527.34</v>
      </c>
      <c r="I510" t="s">
        <v>3</v>
      </c>
      <c r="J510" s="6">
        <v>1400000182</v>
      </c>
      <c r="K510" t="s">
        <v>0</v>
      </c>
      <c r="L510" s="3">
        <v>3862</v>
      </c>
      <c r="M510" s="3">
        <v>3831</v>
      </c>
      <c r="N510" t="s">
        <v>4</v>
      </c>
      <c r="O510" s="6">
        <v>1050</v>
      </c>
      <c r="P510" s="12">
        <f t="shared" si="14"/>
        <v>685</v>
      </c>
      <c r="Q510" t="str">
        <f t="shared" si="15"/>
        <v>⑤만기경과 후 12개월 초과</v>
      </c>
    </row>
    <row r="511" spans="1:17" ht="13.95" customHeight="1" outlineLevel="3" x14ac:dyDescent="0.25">
      <c r="A511" t="s">
        <v>1</v>
      </c>
      <c r="B511" s="2">
        <v>40147</v>
      </c>
      <c r="C511" s="2">
        <v>40147</v>
      </c>
      <c r="D511" s="2">
        <v>40192</v>
      </c>
      <c r="E511" s="2"/>
      <c r="F511" t="s">
        <v>2</v>
      </c>
      <c r="G511" s="3">
        <v>45</v>
      </c>
      <c r="H511" s="4">
        <v>48771.91</v>
      </c>
      <c r="I511" t="s">
        <v>3</v>
      </c>
      <c r="J511" s="6">
        <v>1400000178</v>
      </c>
      <c r="K511" t="s">
        <v>0</v>
      </c>
      <c r="L511" s="3">
        <v>3893</v>
      </c>
      <c r="M511" s="3">
        <v>3862</v>
      </c>
      <c r="N511" t="s">
        <v>4</v>
      </c>
      <c r="O511" s="6">
        <v>1050</v>
      </c>
      <c r="P511" s="12">
        <f t="shared" si="14"/>
        <v>716</v>
      </c>
      <c r="Q511" t="str">
        <f t="shared" si="15"/>
        <v>⑤만기경과 후 12개월 초과</v>
      </c>
    </row>
    <row r="512" spans="1:17" ht="13.95" customHeight="1" outlineLevel="3" x14ac:dyDescent="0.25">
      <c r="A512" t="s">
        <v>1</v>
      </c>
      <c r="B512" s="2">
        <v>40147</v>
      </c>
      <c r="C512" s="2">
        <v>40147</v>
      </c>
      <c r="D512" s="2">
        <v>40192</v>
      </c>
      <c r="E512" s="2"/>
      <c r="F512" t="s">
        <v>2</v>
      </c>
      <c r="G512" s="3">
        <v>45</v>
      </c>
      <c r="H512" s="4">
        <v>31638.77</v>
      </c>
      <c r="I512" t="s">
        <v>3</v>
      </c>
      <c r="J512" s="6">
        <v>1400000177</v>
      </c>
      <c r="K512" t="s">
        <v>0</v>
      </c>
      <c r="L512" s="3">
        <v>3893</v>
      </c>
      <c r="M512" s="3">
        <v>3862</v>
      </c>
      <c r="N512" t="s">
        <v>4</v>
      </c>
      <c r="O512" s="6">
        <v>1050</v>
      </c>
      <c r="P512" s="12">
        <f t="shared" si="14"/>
        <v>716</v>
      </c>
      <c r="Q512" t="str">
        <f t="shared" si="15"/>
        <v>⑤만기경과 후 12개월 초과</v>
      </c>
    </row>
    <row r="513" spans="1:17" ht="13.95" customHeight="1" outlineLevel="3" x14ac:dyDescent="0.25">
      <c r="A513" t="s">
        <v>1</v>
      </c>
      <c r="B513" s="2">
        <v>40147</v>
      </c>
      <c r="C513" s="2">
        <v>40147</v>
      </c>
      <c r="D513" s="2">
        <v>40192</v>
      </c>
      <c r="E513" s="2"/>
      <c r="F513" t="s">
        <v>2</v>
      </c>
      <c r="G513" s="3">
        <v>45</v>
      </c>
      <c r="H513" s="4">
        <v>32527.34</v>
      </c>
      <c r="I513" t="s">
        <v>3</v>
      </c>
      <c r="J513" s="6">
        <v>1400000176</v>
      </c>
      <c r="K513" t="s">
        <v>0</v>
      </c>
      <c r="L513" s="3">
        <v>3893</v>
      </c>
      <c r="M513" s="3">
        <v>3862</v>
      </c>
      <c r="N513" t="s">
        <v>4</v>
      </c>
      <c r="O513" s="6">
        <v>1050</v>
      </c>
      <c r="P513" s="12">
        <f t="shared" si="14"/>
        <v>716</v>
      </c>
      <c r="Q513" t="str">
        <f t="shared" si="15"/>
        <v>⑤만기경과 후 12개월 초과</v>
      </c>
    </row>
    <row r="514" spans="1:17" ht="13.95" customHeight="1" outlineLevel="3" x14ac:dyDescent="0.25">
      <c r="A514" t="s">
        <v>1</v>
      </c>
      <c r="B514" s="2">
        <v>40268</v>
      </c>
      <c r="C514" s="2">
        <v>40268</v>
      </c>
      <c r="D514" s="2">
        <v>40313</v>
      </c>
      <c r="E514" s="2"/>
      <c r="F514" t="s">
        <v>2</v>
      </c>
      <c r="G514" s="3">
        <v>45</v>
      </c>
      <c r="H514" s="4">
        <v>31638.77</v>
      </c>
      <c r="I514" t="s">
        <v>3</v>
      </c>
      <c r="J514" s="6">
        <v>1400000022</v>
      </c>
      <c r="K514" t="s">
        <v>0</v>
      </c>
      <c r="L514" s="3">
        <v>3772</v>
      </c>
      <c r="M514" s="3">
        <v>3741</v>
      </c>
      <c r="N514" t="s">
        <v>4</v>
      </c>
      <c r="O514" s="6">
        <v>1050</v>
      </c>
      <c r="P514" s="12">
        <f t="shared" si="14"/>
        <v>595</v>
      </c>
      <c r="Q514" t="str">
        <f t="shared" si="15"/>
        <v>⑤만기경과 후 12개월 초과</v>
      </c>
    </row>
    <row r="515" spans="1:17" ht="13.95" customHeight="1" outlineLevel="3" x14ac:dyDescent="0.25">
      <c r="A515" t="s">
        <v>1</v>
      </c>
      <c r="B515" s="2">
        <v>40359</v>
      </c>
      <c r="C515" s="2">
        <v>40359</v>
      </c>
      <c r="D515" s="2">
        <v>40404</v>
      </c>
      <c r="E515" s="2"/>
      <c r="F515" t="s">
        <v>2</v>
      </c>
      <c r="G515" s="3">
        <v>45</v>
      </c>
      <c r="H515" s="4">
        <v>16257.3</v>
      </c>
      <c r="I515" t="s">
        <v>3</v>
      </c>
      <c r="J515" s="6">
        <v>1400000053</v>
      </c>
      <c r="K515" t="s">
        <v>0</v>
      </c>
      <c r="L515" s="3">
        <v>3681</v>
      </c>
      <c r="M515" s="3">
        <v>3650</v>
      </c>
      <c r="N515" t="s">
        <v>4</v>
      </c>
      <c r="O515" s="6">
        <v>1050</v>
      </c>
      <c r="P515" s="12">
        <f t="shared" ref="P515:P578" si="16">$T$1-D515</f>
        <v>504</v>
      </c>
      <c r="Q515" t="str">
        <f t="shared" ref="Q515:Q578" si="17">IF(P515&lt;=0,"①연체되지 않은 채권",IF(P515&lt;=92,"②만기경과 후 3개월 이하",IF(P515&lt;=184,"③만기경과 후 4~6개월",IF(P515&lt;=365,"④만기경과 후 7~12개월","⑤만기경과 후 12개월 초과"))))</f>
        <v>⑤만기경과 후 12개월 초과</v>
      </c>
    </row>
    <row r="516" spans="1:17" ht="13.95" customHeight="1" outlineLevel="3" x14ac:dyDescent="0.25">
      <c r="A516" t="s">
        <v>1</v>
      </c>
      <c r="B516" s="2">
        <v>40359</v>
      </c>
      <c r="C516" s="2">
        <v>40359</v>
      </c>
      <c r="D516" s="2">
        <v>40404</v>
      </c>
      <c r="E516" s="2"/>
      <c r="F516" t="s">
        <v>2</v>
      </c>
      <c r="G516" s="3">
        <v>45</v>
      </c>
      <c r="H516" s="4">
        <v>59322.69</v>
      </c>
      <c r="I516" t="s">
        <v>3</v>
      </c>
      <c r="J516" s="6">
        <v>1400000052</v>
      </c>
      <c r="K516" t="s">
        <v>0</v>
      </c>
      <c r="L516" s="3">
        <v>3681</v>
      </c>
      <c r="M516" s="3">
        <v>3650</v>
      </c>
      <c r="N516" t="s">
        <v>4</v>
      </c>
      <c r="O516" s="6">
        <v>1050</v>
      </c>
      <c r="P516" s="12">
        <f t="shared" si="16"/>
        <v>504</v>
      </c>
      <c r="Q516" t="str">
        <f t="shared" si="17"/>
        <v>⑤만기경과 후 12개월 초과</v>
      </c>
    </row>
    <row r="517" spans="1:17" ht="13.95" customHeight="1" outlineLevel="3" x14ac:dyDescent="0.25">
      <c r="A517" t="s">
        <v>1</v>
      </c>
      <c r="B517" s="2">
        <v>40359</v>
      </c>
      <c r="C517" s="2">
        <v>40359</v>
      </c>
      <c r="D517" s="2">
        <v>40404</v>
      </c>
      <c r="E517" s="2"/>
      <c r="F517" t="s">
        <v>2</v>
      </c>
      <c r="G517" s="3">
        <v>45</v>
      </c>
      <c r="H517" s="4">
        <v>28913.19</v>
      </c>
      <c r="I517" t="s">
        <v>3</v>
      </c>
      <c r="J517" s="6">
        <v>1400000051</v>
      </c>
      <c r="K517" t="s">
        <v>0</v>
      </c>
      <c r="L517" s="3">
        <v>3681</v>
      </c>
      <c r="M517" s="3">
        <v>3650</v>
      </c>
      <c r="N517" t="s">
        <v>4</v>
      </c>
      <c r="O517" s="6">
        <v>1050</v>
      </c>
      <c r="P517" s="12">
        <f t="shared" si="16"/>
        <v>504</v>
      </c>
      <c r="Q517" t="str">
        <f t="shared" si="17"/>
        <v>⑤만기경과 후 12개월 초과</v>
      </c>
    </row>
    <row r="518" spans="1:17" ht="13.95" customHeight="1" outlineLevel="3" x14ac:dyDescent="0.25">
      <c r="A518" t="s">
        <v>1</v>
      </c>
      <c r="B518" s="2">
        <v>40359</v>
      </c>
      <c r="C518" s="2">
        <v>40359</v>
      </c>
      <c r="D518" s="2">
        <v>40404</v>
      </c>
      <c r="E518" s="2"/>
      <c r="F518" t="s">
        <v>2</v>
      </c>
      <c r="G518" s="3">
        <v>45</v>
      </c>
      <c r="H518" s="4">
        <v>24385.96</v>
      </c>
      <c r="I518" t="s">
        <v>3</v>
      </c>
      <c r="J518" s="6">
        <v>1400000050</v>
      </c>
      <c r="K518" t="s">
        <v>0</v>
      </c>
      <c r="L518" s="3">
        <v>3681</v>
      </c>
      <c r="M518" s="3">
        <v>3650</v>
      </c>
      <c r="N518" t="s">
        <v>4</v>
      </c>
      <c r="O518" s="6">
        <v>1050</v>
      </c>
      <c r="P518" s="12">
        <f t="shared" si="16"/>
        <v>504</v>
      </c>
      <c r="Q518" t="str">
        <f t="shared" si="17"/>
        <v>⑤만기경과 후 12개월 초과</v>
      </c>
    </row>
    <row r="519" spans="1:17" ht="13.95" customHeight="1" outlineLevel="3" x14ac:dyDescent="0.25">
      <c r="A519" t="s">
        <v>1</v>
      </c>
      <c r="B519" s="2">
        <v>40359</v>
      </c>
      <c r="C519" s="2">
        <v>40359</v>
      </c>
      <c r="D519" s="2">
        <v>40404</v>
      </c>
      <c r="E519" s="2"/>
      <c r="F519" t="s">
        <v>2</v>
      </c>
      <c r="G519" s="3">
        <v>45</v>
      </c>
      <c r="H519" s="4">
        <v>55367.839999999997</v>
      </c>
      <c r="I519" t="s">
        <v>3</v>
      </c>
      <c r="J519" s="6">
        <v>1400000049</v>
      </c>
      <c r="K519" t="s">
        <v>0</v>
      </c>
      <c r="L519" s="3">
        <v>3681</v>
      </c>
      <c r="M519" s="3">
        <v>3650</v>
      </c>
      <c r="N519" t="s">
        <v>4</v>
      </c>
      <c r="O519" s="6">
        <v>1050</v>
      </c>
      <c r="P519" s="12">
        <f t="shared" si="16"/>
        <v>504</v>
      </c>
      <c r="Q519" t="str">
        <f t="shared" si="17"/>
        <v>⑤만기경과 후 12개월 초과</v>
      </c>
    </row>
    <row r="520" spans="1:17" ht="13.95" customHeight="1" outlineLevel="3" x14ac:dyDescent="0.25">
      <c r="A520" t="s">
        <v>1</v>
      </c>
      <c r="B520" s="2">
        <v>40359</v>
      </c>
      <c r="C520" s="2">
        <v>40359</v>
      </c>
      <c r="D520" s="2">
        <v>40404</v>
      </c>
      <c r="E520" s="2"/>
      <c r="F520" t="s">
        <v>2</v>
      </c>
      <c r="G520" s="3">
        <v>45</v>
      </c>
      <c r="H520" s="4">
        <v>28913.19</v>
      </c>
      <c r="I520" t="s">
        <v>3</v>
      </c>
      <c r="J520" s="6">
        <v>1400000048</v>
      </c>
      <c r="K520" t="s">
        <v>0</v>
      </c>
      <c r="L520" s="3">
        <v>3681</v>
      </c>
      <c r="M520" s="3">
        <v>3650</v>
      </c>
      <c r="N520" t="s">
        <v>4</v>
      </c>
      <c r="O520" s="6">
        <v>1050</v>
      </c>
      <c r="P520" s="12">
        <f t="shared" si="16"/>
        <v>504</v>
      </c>
      <c r="Q520" t="str">
        <f t="shared" si="17"/>
        <v>⑤만기경과 후 12개월 초과</v>
      </c>
    </row>
    <row r="521" spans="1:17" ht="13.95" customHeight="1" outlineLevel="3" x14ac:dyDescent="0.25">
      <c r="A521" t="s">
        <v>1</v>
      </c>
      <c r="B521" s="2">
        <v>40329</v>
      </c>
      <c r="C521" s="2">
        <v>40329</v>
      </c>
      <c r="D521" s="2">
        <v>40374</v>
      </c>
      <c r="E521" s="2"/>
      <c r="F521" t="s">
        <v>2</v>
      </c>
      <c r="G521" s="3">
        <v>45</v>
      </c>
      <c r="H521" s="4">
        <v>16257.3</v>
      </c>
      <c r="I521" t="s">
        <v>3</v>
      </c>
      <c r="J521" s="6">
        <v>1400000044</v>
      </c>
      <c r="K521" t="s">
        <v>0</v>
      </c>
      <c r="L521" s="3">
        <v>3711</v>
      </c>
      <c r="M521" s="3">
        <v>3680</v>
      </c>
      <c r="N521" t="s">
        <v>4</v>
      </c>
      <c r="O521" s="6">
        <v>1050</v>
      </c>
      <c r="P521" s="12">
        <f t="shared" si="16"/>
        <v>534</v>
      </c>
      <c r="Q521" t="str">
        <f t="shared" si="17"/>
        <v>⑤만기경과 후 12개월 초과</v>
      </c>
    </row>
    <row r="522" spans="1:17" ht="13.95" customHeight="1" outlineLevel="3" x14ac:dyDescent="0.25">
      <c r="A522" t="s">
        <v>1</v>
      </c>
      <c r="B522" s="2">
        <v>40329</v>
      </c>
      <c r="C522" s="2">
        <v>40329</v>
      </c>
      <c r="D522" s="2">
        <v>40374</v>
      </c>
      <c r="E522" s="2"/>
      <c r="F522" t="s">
        <v>2</v>
      </c>
      <c r="G522" s="3">
        <v>45</v>
      </c>
      <c r="H522" s="4">
        <v>47458.15</v>
      </c>
      <c r="I522" t="s">
        <v>3</v>
      </c>
      <c r="J522" s="6">
        <v>1400000043</v>
      </c>
      <c r="K522" t="s">
        <v>0</v>
      </c>
      <c r="L522" s="3">
        <v>3711</v>
      </c>
      <c r="M522" s="3">
        <v>3680</v>
      </c>
      <c r="N522" t="s">
        <v>4</v>
      </c>
      <c r="O522" s="6">
        <v>1050</v>
      </c>
      <c r="P522" s="12">
        <f t="shared" si="16"/>
        <v>534</v>
      </c>
      <c r="Q522" t="str">
        <f t="shared" si="17"/>
        <v>⑤만기경과 후 12개월 초과</v>
      </c>
    </row>
    <row r="523" spans="1:17" ht="13.95" customHeight="1" outlineLevel="3" x14ac:dyDescent="0.25">
      <c r="A523" t="s">
        <v>1</v>
      </c>
      <c r="B523" s="2">
        <v>40329</v>
      </c>
      <c r="C523" s="2">
        <v>40329</v>
      </c>
      <c r="D523" s="2">
        <v>40374</v>
      </c>
      <c r="E523" s="2"/>
      <c r="F523" t="s">
        <v>2</v>
      </c>
      <c r="G523" s="3">
        <v>45</v>
      </c>
      <c r="H523" s="4">
        <v>36141.49</v>
      </c>
      <c r="I523" t="s">
        <v>3</v>
      </c>
      <c r="J523" s="6">
        <v>1400000042</v>
      </c>
      <c r="K523" t="s">
        <v>0</v>
      </c>
      <c r="L523" s="3">
        <v>3711</v>
      </c>
      <c r="M523" s="3">
        <v>3680</v>
      </c>
      <c r="N523" t="s">
        <v>4</v>
      </c>
      <c r="O523" s="6">
        <v>1050</v>
      </c>
      <c r="P523" s="12">
        <f t="shared" si="16"/>
        <v>534</v>
      </c>
      <c r="Q523" t="str">
        <f t="shared" si="17"/>
        <v>⑤만기경과 후 12개월 초과</v>
      </c>
    </row>
    <row r="524" spans="1:17" ht="13.95" customHeight="1" outlineLevel="3" x14ac:dyDescent="0.25">
      <c r="A524" t="s">
        <v>1</v>
      </c>
      <c r="B524" s="2">
        <v>40329</v>
      </c>
      <c r="C524" s="2">
        <v>40329</v>
      </c>
      <c r="D524" s="2">
        <v>40374</v>
      </c>
      <c r="E524" s="2"/>
      <c r="F524" t="s">
        <v>2</v>
      </c>
      <c r="G524" s="3">
        <v>45</v>
      </c>
      <c r="H524" s="4">
        <v>20321.63</v>
      </c>
      <c r="I524" t="s">
        <v>3</v>
      </c>
      <c r="J524" s="6">
        <v>1400000041</v>
      </c>
      <c r="K524" t="s">
        <v>0</v>
      </c>
      <c r="L524" s="3">
        <v>3711</v>
      </c>
      <c r="M524" s="3">
        <v>3680</v>
      </c>
      <c r="N524" t="s">
        <v>4</v>
      </c>
      <c r="O524" s="6">
        <v>1050</v>
      </c>
      <c r="P524" s="12">
        <f t="shared" si="16"/>
        <v>534</v>
      </c>
      <c r="Q524" t="str">
        <f t="shared" si="17"/>
        <v>⑤만기경과 후 12개월 초과</v>
      </c>
    </row>
    <row r="525" spans="1:17" ht="13.95" customHeight="1" outlineLevel="3" x14ac:dyDescent="0.25">
      <c r="A525" t="s">
        <v>1</v>
      </c>
      <c r="B525" s="2">
        <v>40329</v>
      </c>
      <c r="C525" s="2">
        <v>40329</v>
      </c>
      <c r="D525" s="2">
        <v>40374</v>
      </c>
      <c r="E525" s="2"/>
      <c r="F525" t="s">
        <v>2</v>
      </c>
      <c r="G525" s="3">
        <v>45</v>
      </c>
      <c r="H525" s="4">
        <v>51413</v>
      </c>
      <c r="I525" t="s">
        <v>3</v>
      </c>
      <c r="J525" s="6">
        <v>1400000040</v>
      </c>
      <c r="K525" t="s">
        <v>0</v>
      </c>
      <c r="L525" s="3">
        <v>3711</v>
      </c>
      <c r="M525" s="3">
        <v>3680</v>
      </c>
      <c r="N525" t="s">
        <v>4</v>
      </c>
      <c r="O525" s="6">
        <v>1050</v>
      </c>
      <c r="P525" s="12">
        <f t="shared" si="16"/>
        <v>534</v>
      </c>
      <c r="Q525" t="str">
        <f t="shared" si="17"/>
        <v>⑤만기경과 후 12개월 초과</v>
      </c>
    </row>
    <row r="526" spans="1:17" ht="13.95" customHeight="1" outlineLevel="3" x14ac:dyDescent="0.25">
      <c r="A526" t="s">
        <v>1</v>
      </c>
      <c r="B526" s="2">
        <v>40329</v>
      </c>
      <c r="C526" s="2">
        <v>40329</v>
      </c>
      <c r="D526" s="2">
        <v>40374</v>
      </c>
      <c r="E526" s="2"/>
      <c r="F526" t="s">
        <v>2</v>
      </c>
      <c r="G526" s="3">
        <v>45</v>
      </c>
      <c r="H526" s="4">
        <v>32527.34</v>
      </c>
      <c r="I526" t="s">
        <v>3</v>
      </c>
      <c r="J526" s="6">
        <v>1400000039</v>
      </c>
      <c r="K526" t="s">
        <v>0</v>
      </c>
      <c r="L526" s="3">
        <v>3711</v>
      </c>
      <c r="M526" s="3">
        <v>3680</v>
      </c>
      <c r="N526" t="s">
        <v>4</v>
      </c>
      <c r="O526" s="6">
        <v>1050</v>
      </c>
      <c r="P526" s="12">
        <f t="shared" si="16"/>
        <v>534</v>
      </c>
      <c r="Q526" t="str">
        <f t="shared" si="17"/>
        <v>⑤만기경과 후 12개월 초과</v>
      </c>
    </row>
    <row r="527" spans="1:17" ht="13.95" customHeight="1" outlineLevel="3" x14ac:dyDescent="0.25">
      <c r="A527" t="s">
        <v>1</v>
      </c>
      <c r="B527" s="2">
        <v>40298</v>
      </c>
      <c r="C527" s="2">
        <v>40298</v>
      </c>
      <c r="D527" s="2">
        <v>40343</v>
      </c>
      <c r="E527" s="2"/>
      <c r="F527" t="s">
        <v>2</v>
      </c>
      <c r="G527" s="3">
        <v>45</v>
      </c>
      <c r="H527" s="4">
        <v>24385.96</v>
      </c>
      <c r="I527" t="s">
        <v>3</v>
      </c>
      <c r="J527" s="6">
        <v>1400000035</v>
      </c>
      <c r="K527" t="s">
        <v>0</v>
      </c>
      <c r="L527" s="3">
        <v>3742</v>
      </c>
      <c r="M527" s="3">
        <v>3711</v>
      </c>
      <c r="N527" t="s">
        <v>4</v>
      </c>
      <c r="O527" s="6">
        <v>1050</v>
      </c>
      <c r="P527" s="12">
        <f t="shared" si="16"/>
        <v>565</v>
      </c>
      <c r="Q527" t="str">
        <f t="shared" si="17"/>
        <v>⑤만기경과 후 12개월 초과</v>
      </c>
    </row>
    <row r="528" spans="1:17" ht="13.95" customHeight="1" outlineLevel="3" x14ac:dyDescent="0.25">
      <c r="A528" t="s">
        <v>1</v>
      </c>
      <c r="B528" s="2">
        <v>40298</v>
      </c>
      <c r="C528" s="2">
        <v>40298</v>
      </c>
      <c r="D528" s="2">
        <v>40343</v>
      </c>
      <c r="E528" s="2"/>
      <c r="F528" t="s">
        <v>2</v>
      </c>
      <c r="G528" s="3">
        <v>45</v>
      </c>
      <c r="H528" s="4">
        <v>39548.46</v>
      </c>
      <c r="I528" t="s">
        <v>3</v>
      </c>
      <c r="J528" s="6">
        <v>1400000034</v>
      </c>
      <c r="K528" t="s">
        <v>0</v>
      </c>
      <c r="L528" s="3">
        <v>3742</v>
      </c>
      <c r="M528" s="3">
        <v>3711</v>
      </c>
      <c r="N528" t="s">
        <v>4</v>
      </c>
      <c r="O528" s="6">
        <v>1050</v>
      </c>
      <c r="P528" s="12">
        <f t="shared" si="16"/>
        <v>565</v>
      </c>
      <c r="Q528" t="str">
        <f t="shared" si="17"/>
        <v>⑤만기경과 후 12개월 초과</v>
      </c>
    </row>
    <row r="529" spans="1:17" ht="13.95" customHeight="1" outlineLevel="3" x14ac:dyDescent="0.25">
      <c r="A529" t="s">
        <v>1</v>
      </c>
      <c r="B529" s="2">
        <v>40298</v>
      </c>
      <c r="C529" s="2">
        <v>40298</v>
      </c>
      <c r="D529" s="2">
        <v>40343</v>
      </c>
      <c r="E529" s="2"/>
      <c r="F529" t="s">
        <v>2</v>
      </c>
      <c r="G529" s="3">
        <v>45</v>
      </c>
      <c r="H529" s="4">
        <v>46983.94</v>
      </c>
      <c r="I529" t="s">
        <v>3</v>
      </c>
      <c r="J529" s="6">
        <v>1400000033</v>
      </c>
      <c r="K529" t="s">
        <v>0</v>
      </c>
      <c r="L529" s="3">
        <v>3742</v>
      </c>
      <c r="M529" s="3">
        <v>3711</v>
      </c>
      <c r="N529" t="s">
        <v>4</v>
      </c>
      <c r="O529" s="6">
        <v>1050</v>
      </c>
      <c r="P529" s="12">
        <f t="shared" si="16"/>
        <v>565</v>
      </c>
      <c r="Q529" t="str">
        <f t="shared" si="17"/>
        <v>⑤만기경과 후 12개월 초과</v>
      </c>
    </row>
    <row r="530" spans="1:17" ht="13.95" customHeight="1" outlineLevel="3" x14ac:dyDescent="0.25">
      <c r="A530" t="s">
        <v>1</v>
      </c>
      <c r="B530" s="2">
        <v>40298</v>
      </c>
      <c r="C530" s="2">
        <v>40298</v>
      </c>
      <c r="D530" s="2">
        <v>40343</v>
      </c>
      <c r="E530" s="2"/>
      <c r="F530" t="s">
        <v>2</v>
      </c>
      <c r="G530" s="3">
        <v>45</v>
      </c>
      <c r="H530" s="4">
        <v>20321.63</v>
      </c>
      <c r="I530" t="s">
        <v>3</v>
      </c>
      <c r="J530" s="6">
        <v>1400000032</v>
      </c>
      <c r="K530" t="s">
        <v>0</v>
      </c>
      <c r="L530" s="3">
        <v>3742</v>
      </c>
      <c r="M530" s="3">
        <v>3711</v>
      </c>
      <c r="N530" t="s">
        <v>4</v>
      </c>
      <c r="O530" s="6">
        <v>1050</v>
      </c>
      <c r="P530" s="12">
        <f t="shared" si="16"/>
        <v>565</v>
      </c>
      <c r="Q530" t="str">
        <f t="shared" si="17"/>
        <v>⑤만기경과 후 12개월 초과</v>
      </c>
    </row>
    <row r="531" spans="1:17" ht="13.95" customHeight="1" outlineLevel="3" x14ac:dyDescent="0.25">
      <c r="A531" t="s">
        <v>1</v>
      </c>
      <c r="B531" s="2">
        <v>40298</v>
      </c>
      <c r="C531" s="2">
        <v>40298</v>
      </c>
      <c r="D531" s="2">
        <v>40343</v>
      </c>
      <c r="E531" s="2"/>
      <c r="F531" t="s">
        <v>2</v>
      </c>
      <c r="G531" s="3">
        <v>45</v>
      </c>
      <c r="H531" s="4">
        <v>43503.31</v>
      </c>
      <c r="I531" t="s">
        <v>3</v>
      </c>
      <c r="J531" s="6">
        <v>1400000031</v>
      </c>
      <c r="K531" t="s">
        <v>0</v>
      </c>
      <c r="L531" s="3">
        <v>3742</v>
      </c>
      <c r="M531" s="3">
        <v>3711</v>
      </c>
      <c r="N531" t="s">
        <v>4</v>
      </c>
      <c r="O531" s="6">
        <v>1050</v>
      </c>
      <c r="P531" s="12">
        <f t="shared" si="16"/>
        <v>565</v>
      </c>
      <c r="Q531" t="str">
        <f t="shared" si="17"/>
        <v>⑤만기경과 후 12개월 초과</v>
      </c>
    </row>
    <row r="532" spans="1:17" ht="13.95" customHeight="1" outlineLevel="3" x14ac:dyDescent="0.25">
      <c r="A532" t="s">
        <v>1</v>
      </c>
      <c r="B532" s="2">
        <v>40298</v>
      </c>
      <c r="C532" s="2">
        <v>40298</v>
      </c>
      <c r="D532" s="2">
        <v>40343</v>
      </c>
      <c r="E532" s="2"/>
      <c r="F532" t="s">
        <v>2</v>
      </c>
      <c r="G532" s="3">
        <v>45</v>
      </c>
      <c r="H532" s="4">
        <v>39755.64</v>
      </c>
      <c r="I532" t="s">
        <v>3</v>
      </c>
      <c r="J532" s="6">
        <v>1400000030</v>
      </c>
      <c r="K532" t="s">
        <v>0</v>
      </c>
      <c r="L532" s="3">
        <v>3742</v>
      </c>
      <c r="M532" s="3">
        <v>3711</v>
      </c>
      <c r="N532" t="s">
        <v>4</v>
      </c>
      <c r="O532" s="6">
        <v>1050</v>
      </c>
      <c r="P532" s="12">
        <f t="shared" si="16"/>
        <v>565</v>
      </c>
      <c r="Q532" t="str">
        <f t="shared" si="17"/>
        <v>⑤만기경과 후 12개월 초과</v>
      </c>
    </row>
    <row r="533" spans="1:17" ht="13.95" customHeight="1" outlineLevel="3" x14ac:dyDescent="0.25">
      <c r="A533" t="s">
        <v>1</v>
      </c>
      <c r="B533" s="2">
        <v>40268</v>
      </c>
      <c r="C533" s="2">
        <v>40268</v>
      </c>
      <c r="D533" s="2">
        <v>40313</v>
      </c>
      <c r="E533" s="2"/>
      <c r="F533" t="s">
        <v>2</v>
      </c>
      <c r="G533" s="3">
        <v>45</v>
      </c>
      <c r="H533" s="4">
        <v>32514.61</v>
      </c>
      <c r="I533" t="s">
        <v>3</v>
      </c>
      <c r="J533" s="6">
        <v>1400000026</v>
      </c>
      <c r="K533" t="s">
        <v>0</v>
      </c>
      <c r="L533" s="3">
        <v>3772</v>
      </c>
      <c r="M533" s="3">
        <v>3741</v>
      </c>
      <c r="N533" t="s">
        <v>4</v>
      </c>
      <c r="O533" s="6">
        <v>1050</v>
      </c>
      <c r="P533" s="12">
        <f t="shared" si="16"/>
        <v>595</v>
      </c>
      <c r="Q533" t="str">
        <f t="shared" si="17"/>
        <v>⑤만기경과 후 12개월 초과</v>
      </c>
    </row>
    <row r="534" spans="1:17" ht="13.95" customHeight="1" outlineLevel="3" x14ac:dyDescent="0.25">
      <c r="A534" t="s">
        <v>1</v>
      </c>
      <c r="B534" s="2">
        <v>40268</v>
      </c>
      <c r="C534" s="2">
        <v>40268</v>
      </c>
      <c r="D534" s="2">
        <v>40313</v>
      </c>
      <c r="E534" s="2"/>
      <c r="F534" t="s">
        <v>2</v>
      </c>
      <c r="G534" s="3">
        <v>45</v>
      </c>
      <c r="H534" s="4">
        <v>35593.61</v>
      </c>
      <c r="I534" t="s">
        <v>3</v>
      </c>
      <c r="J534" s="6">
        <v>1400000025</v>
      </c>
      <c r="K534" t="s">
        <v>0</v>
      </c>
      <c r="L534" s="3">
        <v>3772</v>
      </c>
      <c r="M534" s="3">
        <v>3741</v>
      </c>
      <c r="N534" t="s">
        <v>4</v>
      </c>
      <c r="O534" s="6">
        <v>1050</v>
      </c>
      <c r="P534" s="12">
        <f t="shared" si="16"/>
        <v>595</v>
      </c>
      <c r="Q534" t="str">
        <f t="shared" si="17"/>
        <v>⑤만기경과 후 12개월 초과</v>
      </c>
    </row>
    <row r="535" spans="1:17" ht="13.95" customHeight="1" outlineLevel="3" x14ac:dyDescent="0.25">
      <c r="A535" t="s">
        <v>1</v>
      </c>
      <c r="B535" s="2">
        <v>40268</v>
      </c>
      <c r="C535" s="2">
        <v>40268</v>
      </c>
      <c r="D535" s="2">
        <v>40313</v>
      </c>
      <c r="E535" s="2"/>
      <c r="F535" t="s">
        <v>2</v>
      </c>
      <c r="G535" s="3">
        <v>45</v>
      </c>
      <c r="H535" s="4">
        <v>39755.64</v>
      </c>
      <c r="I535" t="s">
        <v>3</v>
      </c>
      <c r="J535" s="6">
        <v>1400000024</v>
      </c>
      <c r="K535" t="s">
        <v>0</v>
      </c>
      <c r="L535" s="3">
        <v>3772</v>
      </c>
      <c r="M535" s="3">
        <v>3741</v>
      </c>
      <c r="N535" t="s">
        <v>4</v>
      </c>
      <c r="O535" s="6">
        <v>1050</v>
      </c>
      <c r="P535" s="12">
        <f t="shared" si="16"/>
        <v>595</v>
      </c>
      <c r="Q535" t="str">
        <f t="shared" si="17"/>
        <v>⑤만기경과 후 12개월 초과</v>
      </c>
    </row>
    <row r="536" spans="1:17" ht="13.95" customHeight="1" outlineLevel="3" x14ac:dyDescent="0.25">
      <c r="A536" t="s">
        <v>1</v>
      </c>
      <c r="B536" s="2">
        <v>40268</v>
      </c>
      <c r="C536" s="2">
        <v>40268</v>
      </c>
      <c r="D536" s="2">
        <v>40313</v>
      </c>
      <c r="E536" s="2"/>
      <c r="F536" t="s">
        <v>2</v>
      </c>
      <c r="G536" s="3">
        <v>45</v>
      </c>
      <c r="H536" s="4">
        <v>28450.28</v>
      </c>
      <c r="I536" t="s">
        <v>3</v>
      </c>
      <c r="J536" s="6">
        <v>1400000023</v>
      </c>
      <c r="K536" t="s">
        <v>0</v>
      </c>
      <c r="L536" s="3">
        <v>3772</v>
      </c>
      <c r="M536" s="3">
        <v>3741</v>
      </c>
      <c r="N536" t="s">
        <v>4</v>
      </c>
      <c r="O536" s="6">
        <v>1050</v>
      </c>
      <c r="P536" s="12">
        <f t="shared" si="16"/>
        <v>595</v>
      </c>
      <c r="Q536" t="str">
        <f t="shared" si="17"/>
        <v>⑤만기경과 후 12개월 초과</v>
      </c>
    </row>
    <row r="537" spans="1:17" ht="13.95" customHeight="1" outlineLevel="3" x14ac:dyDescent="0.25">
      <c r="A537" t="s">
        <v>1</v>
      </c>
      <c r="B537" s="2">
        <v>41571</v>
      </c>
      <c r="C537" s="2">
        <v>41571</v>
      </c>
      <c r="D537" s="2">
        <v>41571</v>
      </c>
      <c r="E537" s="2"/>
      <c r="F537" t="s">
        <v>2</v>
      </c>
      <c r="G537" s="3">
        <v>0</v>
      </c>
      <c r="H537" s="4">
        <v>4527.55</v>
      </c>
      <c r="I537" t="s">
        <v>3</v>
      </c>
      <c r="J537" s="6">
        <v>1400000054</v>
      </c>
      <c r="K537" t="s">
        <v>0</v>
      </c>
      <c r="L537" s="3">
        <v>2483</v>
      </c>
      <c r="M537" s="3">
        <v>2483</v>
      </c>
      <c r="N537" t="s">
        <v>4</v>
      </c>
      <c r="O537" s="6">
        <v>1234</v>
      </c>
      <c r="P537" s="12">
        <f t="shared" si="16"/>
        <v>-663</v>
      </c>
      <c r="Q537" t="str">
        <f t="shared" si="17"/>
        <v>①연체되지 않은 채권</v>
      </c>
    </row>
    <row r="538" spans="1:17" ht="13.95" customHeight="1" outlineLevel="3" x14ac:dyDescent="0.25">
      <c r="A538" t="s">
        <v>1</v>
      </c>
      <c r="B538" s="2">
        <v>41518</v>
      </c>
      <c r="C538" s="2">
        <v>41518</v>
      </c>
      <c r="D538" s="2">
        <v>41518</v>
      </c>
      <c r="E538" s="2"/>
      <c r="F538" t="s">
        <v>2</v>
      </c>
      <c r="G538" s="3">
        <v>0</v>
      </c>
      <c r="H538" s="4">
        <v>9055.1</v>
      </c>
      <c r="I538" t="s">
        <v>3</v>
      </c>
      <c r="J538" s="6">
        <v>1400000055</v>
      </c>
      <c r="K538" t="s">
        <v>0</v>
      </c>
      <c r="L538" s="3">
        <v>2536</v>
      </c>
      <c r="M538" s="3">
        <v>2536</v>
      </c>
      <c r="N538" t="s">
        <v>4</v>
      </c>
      <c r="O538" s="6">
        <v>1234</v>
      </c>
      <c r="P538" s="12">
        <f t="shared" si="16"/>
        <v>-610</v>
      </c>
      <c r="Q538" t="str">
        <f t="shared" si="17"/>
        <v>①연체되지 않은 채권</v>
      </c>
    </row>
    <row r="539" spans="1:17" ht="13.95" customHeight="1" outlineLevel="3" x14ac:dyDescent="0.25">
      <c r="A539" t="s">
        <v>1</v>
      </c>
      <c r="B539" s="2">
        <v>41496</v>
      </c>
      <c r="C539" s="2">
        <v>41496</v>
      </c>
      <c r="D539" s="2">
        <v>41496</v>
      </c>
      <c r="E539" s="2"/>
      <c r="F539" t="s">
        <v>2</v>
      </c>
      <c r="G539" s="3">
        <v>0</v>
      </c>
      <c r="H539" s="4">
        <v>9960.61</v>
      </c>
      <c r="I539" t="s">
        <v>3</v>
      </c>
      <c r="J539" s="6">
        <v>1400000056</v>
      </c>
      <c r="K539" t="s">
        <v>0</v>
      </c>
      <c r="L539" s="3">
        <v>2558</v>
      </c>
      <c r="M539" s="3">
        <v>2558</v>
      </c>
      <c r="N539" t="s">
        <v>4</v>
      </c>
      <c r="O539" s="6">
        <v>1234</v>
      </c>
      <c r="P539" s="12">
        <f t="shared" si="16"/>
        <v>-588</v>
      </c>
      <c r="Q539" t="str">
        <f t="shared" si="17"/>
        <v>①연체되지 않은 채권</v>
      </c>
    </row>
    <row r="540" spans="1:17" ht="13.95" customHeight="1" outlineLevel="3" x14ac:dyDescent="0.25">
      <c r="A540" t="s">
        <v>1</v>
      </c>
      <c r="B540" s="2">
        <v>41571</v>
      </c>
      <c r="C540" s="2">
        <v>41571</v>
      </c>
      <c r="D540" s="2">
        <v>41571</v>
      </c>
      <c r="E540" s="2"/>
      <c r="F540" t="s">
        <v>2</v>
      </c>
      <c r="G540" s="3">
        <v>0</v>
      </c>
      <c r="H540" s="4">
        <v>-905.51</v>
      </c>
      <c r="I540" t="s">
        <v>3</v>
      </c>
      <c r="J540" s="6">
        <v>1400000057</v>
      </c>
      <c r="K540" t="s">
        <v>0</v>
      </c>
      <c r="L540" s="3">
        <v>2483</v>
      </c>
      <c r="M540" s="3">
        <v>2483</v>
      </c>
      <c r="N540" t="s">
        <v>4</v>
      </c>
      <c r="O540" s="6">
        <v>1234</v>
      </c>
      <c r="P540" s="12">
        <f t="shared" si="16"/>
        <v>-663</v>
      </c>
      <c r="Q540" t="str">
        <f t="shared" si="17"/>
        <v>①연체되지 않은 채권</v>
      </c>
    </row>
    <row r="541" spans="1:17" ht="13.95" customHeight="1" outlineLevel="3" x14ac:dyDescent="0.25">
      <c r="A541" t="s">
        <v>5</v>
      </c>
      <c r="B541" s="2">
        <v>41571</v>
      </c>
      <c r="C541" s="2">
        <v>41571</v>
      </c>
      <c r="D541" s="2">
        <v>41541</v>
      </c>
      <c r="E541" s="2"/>
      <c r="F541" t="s">
        <v>2</v>
      </c>
      <c r="G541" s="3">
        <v>0</v>
      </c>
      <c r="H541" s="4">
        <v>716.53</v>
      </c>
      <c r="I541" t="s">
        <v>3</v>
      </c>
      <c r="J541" s="6">
        <v>1400000059</v>
      </c>
      <c r="K541" t="s">
        <v>0</v>
      </c>
      <c r="L541" s="3">
        <v>2513</v>
      </c>
      <c r="M541" s="3">
        <v>2513</v>
      </c>
      <c r="N541" t="s">
        <v>4</v>
      </c>
      <c r="O541" s="6">
        <v>1234</v>
      </c>
      <c r="P541" s="12">
        <f t="shared" si="16"/>
        <v>-633</v>
      </c>
      <c r="Q541" t="str">
        <f t="shared" si="17"/>
        <v>①연체되지 않은 채권</v>
      </c>
    </row>
    <row r="542" spans="1:17" ht="13.95" customHeight="1" outlineLevel="3" x14ac:dyDescent="0.25">
      <c r="A542" t="s">
        <v>1</v>
      </c>
      <c r="B542" s="2">
        <v>43281</v>
      </c>
      <c r="C542" s="2">
        <v>43281</v>
      </c>
      <c r="D542" s="2">
        <v>43326</v>
      </c>
      <c r="E542" s="2"/>
      <c r="F542" t="s">
        <v>2</v>
      </c>
      <c r="G542" s="3">
        <v>45</v>
      </c>
      <c r="H542" s="4">
        <v>200</v>
      </c>
      <c r="I542" t="s">
        <v>3</v>
      </c>
      <c r="J542" s="6">
        <v>1400000184</v>
      </c>
      <c r="K542" t="s">
        <v>0</v>
      </c>
      <c r="L542" s="3">
        <v>759</v>
      </c>
      <c r="M542" s="3">
        <v>728</v>
      </c>
      <c r="N542" t="s">
        <v>4</v>
      </c>
      <c r="O542" s="6">
        <v>1251</v>
      </c>
      <c r="P542" s="12">
        <f t="shared" si="16"/>
        <v>-2418</v>
      </c>
      <c r="Q542" t="str">
        <f t="shared" si="17"/>
        <v>①연체되지 않은 채권</v>
      </c>
    </row>
    <row r="543" spans="1:17" ht="13.95" customHeight="1" outlineLevel="3" x14ac:dyDescent="0.25">
      <c r="A543" t="s">
        <v>1</v>
      </c>
      <c r="B543" s="2">
        <v>42999</v>
      </c>
      <c r="C543" s="2">
        <v>42999</v>
      </c>
      <c r="D543" s="2">
        <v>43044</v>
      </c>
      <c r="E543" s="2"/>
      <c r="F543" t="s">
        <v>2</v>
      </c>
      <c r="G543" s="3">
        <v>45</v>
      </c>
      <c r="H543" s="4">
        <v>7000</v>
      </c>
      <c r="I543" t="s">
        <v>3</v>
      </c>
      <c r="J543" s="6">
        <v>1400000011</v>
      </c>
      <c r="K543" t="s">
        <v>0</v>
      </c>
      <c r="L543" s="3">
        <v>1041</v>
      </c>
      <c r="M543" s="3">
        <v>1010</v>
      </c>
      <c r="N543" t="s">
        <v>4</v>
      </c>
      <c r="O543" s="6">
        <v>1325</v>
      </c>
      <c r="P543" s="12">
        <f t="shared" si="16"/>
        <v>-2136</v>
      </c>
      <c r="Q543" t="str">
        <f t="shared" si="17"/>
        <v>①연체되지 않은 채권</v>
      </c>
    </row>
    <row r="544" spans="1:17" ht="13.95" customHeight="1" outlineLevel="3" x14ac:dyDescent="0.25">
      <c r="A544" t="s">
        <v>1</v>
      </c>
      <c r="B544" s="2">
        <v>38467</v>
      </c>
      <c r="C544" s="2">
        <v>38467</v>
      </c>
      <c r="D544" s="2">
        <v>38532</v>
      </c>
      <c r="E544" s="2"/>
      <c r="F544" t="s">
        <v>2</v>
      </c>
      <c r="G544" s="3">
        <v>45</v>
      </c>
      <c r="H544" s="4">
        <v>24644</v>
      </c>
      <c r="I544" t="s">
        <v>3</v>
      </c>
      <c r="J544" s="6">
        <v>100001254</v>
      </c>
      <c r="K544" t="s">
        <v>0</v>
      </c>
      <c r="L544" s="3">
        <v>5553</v>
      </c>
      <c r="M544" s="3">
        <v>5522</v>
      </c>
      <c r="N544" t="s">
        <v>4</v>
      </c>
      <c r="O544" s="6">
        <v>1360</v>
      </c>
      <c r="P544" s="12">
        <f t="shared" si="16"/>
        <v>2376</v>
      </c>
      <c r="Q544" t="str">
        <f t="shared" si="17"/>
        <v>⑤만기경과 후 12개월 초과</v>
      </c>
    </row>
    <row r="545" spans="1:17" ht="13.95" customHeight="1" outlineLevel="3" x14ac:dyDescent="0.25">
      <c r="A545" t="s">
        <v>1</v>
      </c>
      <c r="B545" s="2">
        <v>38467</v>
      </c>
      <c r="C545" s="2">
        <v>38467</v>
      </c>
      <c r="D545" s="2">
        <v>38532</v>
      </c>
      <c r="E545" s="2"/>
      <c r="F545" t="s">
        <v>2</v>
      </c>
      <c r="G545" s="3">
        <v>45</v>
      </c>
      <c r="H545" s="4">
        <v>3012.75</v>
      </c>
      <c r="I545" t="s">
        <v>3</v>
      </c>
      <c r="J545" s="6">
        <v>100001255</v>
      </c>
      <c r="K545" t="s">
        <v>0</v>
      </c>
      <c r="L545" s="3">
        <v>5553</v>
      </c>
      <c r="M545" s="3">
        <v>5522</v>
      </c>
      <c r="N545" t="s">
        <v>4</v>
      </c>
      <c r="O545" s="6">
        <v>1360</v>
      </c>
      <c r="P545" s="12">
        <f t="shared" si="16"/>
        <v>2376</v>
      </c>
      <c r="Q545" t="str">
        <f t="shared" si="17"/>
        <v>⑤만기경과 후 12개월 초과</v>
      </c>
    </row>
    <row r="546" spans="1:17" ht="13.95" customHeight="1" outlineLevel="3" x14ac:dyDescent="0.25">
      <c r="A546" t="s">
        <v>1</v>
      </c>
      <c r="B546" s="2">
        <v>38672</v>
      </c>
      <c r="C546" s="2">
        <v>38672</v>
      </c>
      <c r="D546" s="2">
        <v>38746</v>
      </c>
      <c r="E546" s="2"/>
      <c r="F546" t="s">
        <v>2</v>
      </c>
      <c r="G546" s="3">
        <v>45</v>
      </c>
      <c r="H546" s="4">
        <v>52090.03</v>
      </c>
      <c r="I546" t="s">
        <v>3</v>
      </c>
      <c r="J546" s="6">
        <v>100003249</v>
      </c>
      <c r="K546" t="s">
        <v>0</v>
      </c>
      <c r="L546" s="3">
        <v>5339</v>
      </c>
      <c r="M546" s="3">
        <v>5308</v>
      </c>
      <c r="N546" t="s">
        <v>4</v>
      </c>
      <c r="O546" s="6">
        <v>1360</v>
      </c>
      <c r="P546" s="12">
        <f t="shared" si="16"/>
        <v>2162</v>
      </c>
      <c r="Q546" t="str">
        <f t="shared" si="17"/>
        <v>⑤만기경과 후 12개월 초과</v>
      </c>
    </row>
    <row r="547" spans="1:17" ht="13.95" customHeight="1" outlineLevel="3" x14ac:dyDescent="0.25">
      <c r="A547" t="s">
        <v>1</v>
      </c>
      <c r="B547" s="2">
        <v>38672</v>
      </c>
      <c r="C547" s="2">
        <v>38672</v>
      </c>
      <c r="D547" s="2">
        <v>38746</v>
      </c>
      <c r="E547" s="2"/>
      <c r="F547" t="s">
        <v>2</v>
      </c>
      <c r="G547" s="3">
        <v>45</v>
      </c>
      <c r="H547" s="4">
        <v>6975.08</v>
      </c>
      <c r="I547" t="s">
        <v>3</v>
      </c>
      <c r="J547" s="6">
        <v>100003250</v>
      </c>
      <c r="K547" t="s">
        <v>0</v>
      </c>
      <c r="L547" s="3">
        <v>5339</v>
      </c>
      <c r="M547" s="3">
        <v>5308</v>
      </c>
      <c r="N547" t="s">
        <v>4</v>
      </c>
      <c r="O547" s="6">
        <v>1360</v>
      </c>
      <c r="P547" s="12">
        <f t="shared" si="16"/>
        <v>2162</v>
      </c>
      <c r="Q547" t="str">
        <f t="shared" si="17"/>
        <v>⑤만기경과 후 12개월 초과</v>
      </c>
    </row>
    <row r="548" spans="1:17" ht="13.95" customHeight="1" outlineLevel="3" x14ac:dyDescent="0.25">
      <c r="A548" t="s">
        <v>1</v>
      </c>
      <c r="B548" s="2">
        <v>37546</v>
      </c>
      <c r="C548" s="2">
        <v>37546</v>
      </c>
      <c r="D548" s="2">
        <v>37546</v>
      </c>
      <c r="E548" s="2"/>
      <c r="F548" t="s">
        <v>2</v>
      </c>
      <c r="G548" s="3">
        <v>0</v>
      </c>
      <c r="H548" s="4">
        <v>40600</v>
      </c>
      <c r="I548" t="s">
        <v>3</v>
      </c>
      <c r="J548" s="6">
        <v>100004393</v>
      </c>
      <c r="K548" t="s">
        <v>0</v>
      </c>
      <c r="L548" s="3">
        <v>6508</v>
      </c>
      <c r="M548" s="3">
        <v>6508</v>
      </c>
      <c r="N548" t="s">
        <v>4</v>
      </c>
      <c r="O548" s="6">
        <v>1390</v>
      </c>
      <c r="P548" s="12">
        <f t="shared" si="16"/>
        <v>3362</v>
      </c>
      <c r="Q548" t="str">
        <f t="shared" si="17"/>
        <v>⑤만기경과 후 12개월 초과</v>
      </c>
    </row>
    <row r="549" spans="1:17" ht="13.95" customHeight="1" outlineLevel="3" x14ac:dyDescent="0.25">
      <c r="A549" t="s">
        <v>1</v>
      </c>
      <c r="B549" s="2">
        <v>41557</v>
      </c>
      <c r="C549" s="2">
        <v>41557</v>
      </c>
      <c r="D549" s="2">
        <v>41557</v>
      </c>
      <c r="E549" s="2"/>
      <c r="F549" t="s">
        <v>2</v>
      </c>
      <c r="G549" s="3">
        <v>0</v>
      </c>
      <c r="H549" s="4">
        <v>1811.02</v>
      </c>
      <c r="I549" t="s">
        <v>3</v>
      </c>
      <c r="J549" s="6">
        <v>1400000060</v>
      </c>
      <c r="K549" t="s">
        <v>0</v>
      </c>
      <c r="L549" s="3">
        <v>2497</v>
      </c>
      <c r="M549" s="3">
        <v>2497</v>
      </c>
      <c r="N549" t="s">
        <v>4</v>
      </c>
      <c r="O549" s="6">
        <v>1400</v>
      </c>
      <c r="P549" s="12">
        <f t="shared" si="16"/>
        <v>-649</v>
      </c>
      <c r="Q549" t="str">
        <f t="shared" si="17"/>
        <v>①연체되지 않은 채권</v>
      </c>
    </row>
    <row r="550" spans="1:17" ht="13.95" customHeight="1" outlineLevel="3" x14ac:dyDescent="0.25">
      <c r="A550" t="s">
        <v>1</v>
      </c>
      <c r="B550" s="2">
        <v>42980</v>
      </c>
      <c r="C550" s="2">
        <v>42980</v>
      </c>
      <c r="D550" s="2">
        <v>43025</v>
      </c>
      <c r="E550" s="2"/>
      <c r="F550" t="s">
        <v>2</v>
      </c>
      <c r="G550" s="3">
        <v>45</v>
      </c>
      <c r="H550" s="4">
        <v>81000</v>
      </c>
      <c r="I550" t="s">
        <v>3</v>
      </c>
      <c r="J550" s="6">
        <v>1400000013</v>
      </c>
      <c r="K550" t="s">
        <v>0</v>
      </c>
      <c r="L550" s="3">
        <v>1060</v>
      </c>
      <c r="M550" s="3">
        <v>1029</v>
      </c>
      <c r="N550" t="s">
        <v>4</v>
      </c>
      <c r="O550" s="6">
        <v>1454</v>
      </c>
      <c r="P550" s="12">
        <f t="shared" si="16"/>
        <v>-2117</v>
      </c>
      <c r="Q550" t="str">
        <f t="shared" si="17"/>
        <v>①연체되지 않은 채권</v>
      </c>
    </row>
    <row r="551" spans="1:17" ht="13.95" customHeight="1" outlineLevel="3" x14ac:dyDescent="0.25">
      <c r="A551" t="s">
        <v>1</v>
      </c>
      <c r="B551" s="2">
        <v>37358</v>
      </c>
      <c r="C551" s="2">
        <v>37358</v>
      </c>
      <c r="D551" s="2">
        <v>37358</v>
      </c>
      <c r="E551" s="2"/>
      <c r="F551" t="s">
        <v>2</v>
      </c>
      <c r="G551" s="3">
        <v>0</v>
      </c>
      <c r="H551" s="4">
        <v>1120.5</v>
      </c>
      <c r="I551" t="s">
        <v>3</v>
      </c>
      <c r="J551" s="6">
        <v>1400001434</v>
      </c>
      <c r="K551" t="s">
        <v>0</v>
      </c>
      <c r="L551" s="3">
        <v>6696</v>
      </c>
      <c r="M551" s="3">
        <v>6696</v>
      </c>
      <c r="N551" t="s">
        <v>4</v>
      </c>
      <c r="O551" s="6">
        <v>1460</v>
      </c>
      <c r="P551" s="12">
        <f t="shared" si="16"/>
        <v>3550</v>
      </c>
      <c r="Q551" t="str">
        <f t="shared" si="17"/>
        <v>⑤만기경과 후 12개월 초과</v>
      </c>
    </row>
    <row r="552" spans="1:17" ht="13.95" customHeight="1" outlineLevel="3" x14ac:dyDescent="0.25">
      <c r="A552" t="s">
        <v>1</v>
      </c>
      <c r="B552" s="2">
        <v>37525</v>
      </c>
      <c r="C552" s="2">
        <v>37525</v>
      </c>
      <c r="D552" s="2">
        <v>37589</v>
      </c>
      <c r="E552" s="2"/>
      <c r="F552" t="s">
        <v>2</v>
      </c>
      <c r="G552" s="3">
        <v>45</v>
      </c>
      <c r="H552" s="4">
        <v>104000.4</v>
      </c>
      <c r="I552" t="s">
        <v>3</v>
      </c>
      <c r="J552" s="6">
        <v>1400001435</v>
      </c>
      <c r="K552" t="s">
        <v>0</v>
      </c>
      <c r="L552" s="3">
        <v>6496</v>
      </c>
      <c r="M552" s="3">
        <v>6465</v>
      </c>
      <c r="N552" t="s">
        <v>4</v>
      </c>
      <c r="O552" s="6">
        <v>1460</v>
      </c>
      <c r="P552" s="12">
        <f t="shared" si="16"/>
        <v>3319</v>
      </c>
      <c r="Q552" t="str">
        <f t="shared" si="17"/>
        <v>⑤만기경과 후 12개월 초과</v>
      </c>
    </row>
    <row r="553" spans="1:17" ht="13.95" customHeight="1" outlineLevel="3" x14ac:dyDescent="0.25">
      <c r="A553" t="s">
        <v>1</v>
      </c>
      <c r="B553" s="2">
        <v>37587</v>
      </c>
      <c r="C553" s="2">
        <v>37587</v>
      </c>
      <c r="D553" s="2">
        <v>37650</v>
      </c>
      <c r="E553" s="2"/>
      <c r="F553" t="s">
        <v>2</v>
      </c>
      <c r="G553" s="3">
        <v>45</v>
      </c>
      <c r="H553" s="4">
        <v>13659.1</v>
      </c>
      <c r="I553" t="s">
        <v>3</v>
      </c>
      <c r="J553" s="6">
        <v>1400001436</v>
      </c>
      <c r="K553" t="s">
        <v>0</v>
      </c>
      <c r="L553" s="3">
        <v>6435</v>
      </c>
      <c r="M553" s="3">
        <v>6404</v>
      </c>
      <c r="N553" t="s">
        <v>4</v>
      </c>
      <c r="O553" s="6">
        <v>1460</v>
      </c>
      <c r="P553" s="12">
        <f t="shared" si="16"/>
        <v>3258</v>
      </c>
      <c r="Q553" t="str">
        <f t="shared" si="17"/>
        <v>⑤만기경과 후 12개월 초과</v>
      </c>
    </row>
    <row r="554" spans="1:17" ht="13.95" customHeight="1" outlineLevel="3" x14ac:dyDescent="0.25">
      <c r="A554" t="s">
        <v>1</v>
      </c>
      <c r="B554" s="2">
        <v>37587</v>
      </c>
      <c r="C554" s="2">
        <v>37587</v>
      </c>
      <c r="D554" s="2">
        <v>37650</v>
      </c>
      <c r="E554" s="2"/>
      <c r="F554" t="s">
        <v>2</v>
      </c>
      <c r="G554" s="3">
        <v>45</v>
      </c>
      <c r="H554" s="4">
        <v>66046.899999999994</v>
      </c>
      <c r="I554" t="s">
        <v>3</v>
      </c>
      <c r="J554" s="6">
        <v>1400001437</v>
      </c>
      <c r="K554" t="s">
        <v>0</v>
      </c>
      <c r="L554" s="3">
        <v>6435</v>
      </c>
      <c r="M554" s="3">
        <v>6404</v>
      </c>
      <c r="N554" t="s">
        <v>4</v>
      </c>
      <c r="O554" s="6">
        <v>1460</v>
      </c>
      <c r="P554" s="12">
        <f t="shared" si="16"/>
        <v>3258</v>
      </c>
      <c r="Q554" t="str">
        <f t="shared" si="17"/>
        <v>⑤만기경과 후 12개월 초과</v>
      </c>
    </row>
    <row r="555" spans="1:17" ht="13.95" customHeight="1" outlineLevel="3" x14ac:dyDescent="0.25">
      <c r="A555" t="s">
        <v>1</v>
      </c>
      <c r="B555" s="2">
        <v>37677</v>
      </c>
      <c r="C555" s="2">
        <v>37677</v>
      </c>
      <c r="D555" s="2">
        <v>37740</v>
      </c>
      <c r="E555" s="2"/>
      <c r="F555" t="s">
        <v>2</v>
      </c>
      <c r="G555" s="3">
        <v>45</v>
      </c>
      <c r="H555" s="4">
        <v>3246.5</v>
      </c>
      <c r="I555" t="s">
        <v>3</v>
      </c>
      <c r="J555" s="6">
        <v>1400001438</v>
      </c>
      <c r="K555" t="s">
        <v>0</v>
      </c>
      <c r="L555" s="3">
        <v>6345</v>
      </c>
      <c r="M555" s="3">
        <v>6314</v>
      </c>
      <c r="N555" t="s">
        <v>4</v>
      </c>
      <c r="O555" s="6">
        <v>1460</v>
      </c>
      <c r="P555" s="12">
        <f t="shared" si="16"/>
        <v>3168</v>
      </c>
      <c r="Q555" t="str">
        <f t="shared" si="17"/>
        <v>⑤만기경과 후 12개월 초과</v>
      </c>
    </row>
    <row r="556" spans="1:17" ht="13.95" customHeight="1" outlineLevel="3" x14ac:dyDescent="0.25">
      <c r="A556" t="s">
        <v>1</v>
      </c>
      <c r="B556" s="2">
        <v>37726</v>
      </c>
      <c r="C556" s="2">
        <v>37726</v>
      </c>
      <c r="D556" s="2">
        <v>37786</v>
      </c>
      <c r="E556" s="2"/>
      <c r="F556" t="s">
        <v>2</v>
      </c>
      <c r="G556" s="3">
        <v>45</v>
      </c>
      <c r="H556" s="4">
        <v>10767.9</v>
      </c>
      <c r="I556" t="s">
        <v>3</v>
      </c>
      <c r="J556" s="6">
        <v>1400001439</v>
      </c>
      <c r="K556" t="s">
        <v>0</v>
      </c>
      <c r="L556" s="3">
        <v>6299</v>
      </c>
      <c r="M556" s="3">
        <v>6268</v>
      </c>
      <c r="N556" t="s">
        <v>4</v>
      </c>
      <c r="O556" s="6">
        <v>1460</v>
      </c>
      <c r="P556" s="12">
        <f t="shared" si="16"/>
        <v>3122</v>
      </c>
      <c r="Q556" t="str">
        <f t="shared" si="17"/>
        <v>⑤만기경과 후 12개월 초과</v>
      </c>
    </row>
    <row r="557" spans="1:17" ht="13.95" customHeight="1" outlineLevel="3" x14ac:dyDescent="0.25">
      <c r="A557" t="s">
        <v>1</v>
      </c>
      <c r="B557" s="2">
        <v>38183</v>
      </c>
      <c r="C557" s="2">
        <v>38183</v>
      </c>
      <c r="D557" s="2">
        <v>38243</v>
      </c>
      <c r="E557" s="2"/>
      <c r="F557" t="s">
        <v>2</v>
      </c>
      <c r="G557" s="3">
        <v>45</v>
      </c>
      <c r="H557" s="4">
        <v>5884.2</v>
      </c>
      <c r="I557" t="s">
        <v>3</v>
      </c>
      <c r="J557" s="6">
        <v>1400001440</v>
      </c>
      <c r="K557" t="s">
        <v>0</v>
      </c>
      <c r="L557" s="3">
        <v>5842</v>
      </c>
      <c r="M557" s="3">
        <v>5811</v>
      </c>
      <c r="N557" t="s">
        <v>4</v>
      </c>
      <c r="O557" s="6">
        <v>1460</v>
      </c>
      <c r="P557" s="12">
        <f t="shared" si="16"/>
        <v>2665</v>
      </c>
      <c r="Q557" t="str">
        <f t="shared" si="17"/>
        <v>⑤만기경과 후 12개월 초과</v>
      </c>
    </row>
    <row r="558" spans="1:17" ht="13.95" customHeight="1" outlineLevel="3" x14ac:dyDescent="0.25">
      <c r="A558" t="s">
        <v>1</v>
      </c>
      <c r="B558" s="2">
        <v>38183</v>
      </c>
      <c r="C558" s="2">
        <v>38183</v>
      </c>
      <c r="D558" s="2">
        <v>38243</v>
      </c>
      <c r="E558" s="2"/>
      <c r="F558" t="s">
        <v>2</v>
      </c>
      <c r="G558" s="3">
        <v>45</v>
      </c>
      <c r="H558" s="4">
        <v>28220.9</v>
      </c>
      <c r="I558" t="s">
        <v>3</v>
      </c>
      <c r="J558" s="6">
        <v>1400001441</v>
      </c>
      <c r="K558" t="s">
        <v>0</v>
      </c>
      <c r="L558" s="3">
        <v>5842</v>
      </c>
      <c r="M558" s="3">
        <v>5811</v>
      </c>
      <c r="N558" t="s">
        <v>4</v>
      </c>
      <c r="O558" s="6">
        <v>1460</v>
      </c>
      <c r="P558" s="12">
        <f t="shared" si="16"/>
        <v>2665</v>
      </c>
      <c r="Q558" t="str">
        <f t="shared" si="17"/>
        <v>⑤만기경과 후 12개월 초과</v>
      </c>
    </row>
    <row r="559" spans="1:17" ht="13.95" customHeight="1" outlineLevel="3" x14ac:dyDescent="0.25">
      <c r="A559" t="s">
        <v>1</v>
      </c>
      <c r="B559" s="2">
        <v>38211</v>
      </c>
      <c r="C559" s="2">
        <v>38211</v>
      </c>
      <c r="D559" s="2">
        <v>38274</v>
      </c>
      <c r="E559" s="2"/>
      <c r="F559" t="s">
        <v>2</v>
      </c>
      <c r="G559" s="3">
        <v>45</v>
      </c>
      <c r="H559" s="4">
        <v>97600.7</v>
      </c>
      <c r="I559" t="s">
        <v>3</v>
      </c>
      <c r="J559" s="6">
        <v>1400001442</v>
      </c>
      <c r="K559" t="s">
        <v>0</v>
      </c>
      <c r="L559" s="3">
        <v>5811</v>
      </c>
      <c r="M559" s="3">
        <v>5780</v>
      </c>
      <c r="N559" t="s">
        <v>4</v>
      </c>
      <c r="O559" s="6">
        <v>1460</v>
      </c>
      <c r="P559" s="12">
        <f t="shared" si="16"/>
        <v>2634</v>
      </c>
      <c r="Q559" t="str">
        <f t="shared" si="17"/>
        <v>⑤만기경과 후 12개월 초과</v>
      </c>
    </row>
    <row r="560" spans="1:17" ht="13.95" customHeight="1" outlineLevel="3" x14ac:dyDescent="0.25">
      <c r="A560" t="s">
        <v>1</v>
      </c>
      <c r="B560" s="2">
        <v>38215</v>
      </c>
      <c r="C560" s="2">
        <v>38215</v>
      </c>
      <c r="D560" s="2">
        <v>38290</v>
      </c>
      <c r="E560" s="2"/>
      <c r="F560" t="s">
        <v>2</v>
      </c>
      <c r="G560" s="3">
        <v>45</v>
      </c>
      <c r="H560" s="4">
        <v>10308</v>
      </c>
      <c r="I560" t="s">
        <v>3</v>
      </c>
      <c r="J560" s="6">
        <v>1400001443</v>
      </c>
      <c r="K560" t="s">
        <v>0</v>
      </c>
      <c r="L560" s="3">
        <v>5795</v>
      </c>
      <c r="M560" s="3">
        <v>5764</v>
      </c>
      <c r="N560" t="s">
        <v>4</v>
      </c>
      <c r="O560" s="6">
        <v>1460</v>
      </c>
      <c r="P560" s="12">
        <f t="shared" si="16"/>
        <v>2618</v>
      </c>
      <c r="Q560" t="str">
        <f t="shared" si="17"/>
        <v>⑤만기경과 후 12개월 초과</v>
      </c>
    </row>
    <row r="561" spans="1:17" ht="13.95" customHeight="1" outlineLevel="3" x14ac:dyDescent="0.25">
      <c r="A561" t="s">
        <v>1</v>
      </c>
      <c r="B561" s="2">
        <v>38380</v>
      </c>
      <c r="C561" s="2">
        <v>38380</v>
      </c>
      <c r="D561" s="2">
        <v>38443</v>
      </c>
      <c r="E561" s="2"/>
      <c r="F561" t="s">
        <v>2</v>
      </c>
      <c r="G561" s="3">
        <v>45</v>
      </c>
      <c r="H561" s="4">
        <v>18180.400000000001</v>
      </c>
      <c r="I561" t="s">
        <v>3</v>
      </c>
      <c r="J561" s="6">
        <v>1400000294</v>
      </c>
      <c r="K561" t="s">
        <v>0</v>
      </c>
      <c r="L561" s="3">
        <v>5642</v>
      </c>
      <c r="M561" s="3">
        <v>5611</v>
      </c>
      <c r="N561" t="s">
        <v>4</v>
      </c>
      <c r="O561" s="6">
        <v>1460</v>
      </c>
      <c r="P561" s="12">
        <f t="shared" si="16"/>
        <v>2465</v>
      </c>
      <c r="Q561" t="str">
        <f t="shared" si="17"/>
        <v>⑤만기경과 후 12개월 초과</v>
      </c>
    </row>
    <row r="562" spans="1:17" ht="13.95" customHeight="1" outlineLevel="3" x14ac:dyDescent="0.25">
      <c r="A562" t="s">
        <v>1</v>
      </c>
      <c r="B562" s="2">
        <v>42016</v>
      </c>
      <c r="C562" s="2">
        <v>42016</v>
      </c>
      <c r="D562" s="2">
        <v>42061</v>
      </c>
      <c r="E562" s="2"/>
      <c r="F562" t="s">
        <v>2</v>
      </c>
      <c r="G562" s="3">
        <v>45</v>
      </c>
      <c r="H562" s="4">
        <v>1108800</v>
      </c>
      <c r="I562" t="s">
        <v>3</v>
      </c>
      <c r="J562" s="6">
        <v>1400000004</v>
      </c>
      <c r="K562" t="s">
        <v>0</v>
      </c>
      <c r="L562" s="3">
        <v>2024</v>
      </c>
      <c r="M562" s="3">
        <v>1993</v>
      </c>
      <c r="N562" t="s">
        <v>4</v>
      </c>
      <c r="O562" s="6">
        <v>1600</v>
      </c>
      <c r="P562" s="12">
        <f t="shared" si="16"/>
        <v>-1153</v>
      </c>
      <c r="Q562" t="str">
        <f t="shared" si="17"/>
        <v>①연체되지 않은 채권</v>
      </c>
    </row>
    <row r="563" spans="1:17" ht="13.95" customHeight="1" outlineLevel="3" x14ac:dyDescent="0.25">
      <c r="A563" t="s">
        <v>6</v>
      </c>
      <c r="B563" s="2">
        <v>40332</v>
      </c>
      <c r="C563" s="2">
        <v>40332</v>
      </c>
      <c r="D563" s="2">
        <v>40377</v>
      </c>
      <c r="E563" s="2"/>
      <c r="F563" t="s">
        <v>2</v>
      </c>
      <c r="G563" s="3">
        <v>45</v>
      </c>
      <c r="H563" s="4">
        <v>12000</v>
      </c>
      <c r="I563" t="s">
        <v>3</v>
      </c>
      <c r="J563" s="6">
        <v>1800000148</v>
      </c>
      <c r="K563" t="s">
        <v>0</v>
      </c>
      <c r="L563" s="3">
        <v>3708</v>
      </c>
      <c r="M563" s="3">
        <v>3677</v>
      </c>
      <c r="N563" t="s">
        <v>4</v>
      </c>
      <c r="O563" s="6">
        <v>1933</v>
      </c>
      <c r="P563" s="12">
        <f t="shared" si="16"/>
        <v>531</v>
      </c>
      <c r="Q563" t="str">
        <f t="shared" si="17"/>
        <v>⑤만기경과 후 12개월 초과</v>
      </c>
    </row>
    <row r="564" spans="1:17" ht="13.95" customHeight="1" outlineLevel="3" x14ac:dyDescent="0.25">
      <c r="A564" t="s">
        <v>1</v>
      </c>
      <c r="B564" s="2">
        <v>37523</v>
      </c>
      <c r="C564" s="2">
        <v>37523</v>
      </c>
      <c r="D564" s="2">
        <v>37568</v>
      </c>
      <c r="E564" s="2"/>
      <c r="F564" t="s">
        <v>2</v>
      </c>
      <c r="G564" s="3">
        <v>45</v>
      </c>
      <c r="H564" s="4">
        <v>3895.8</v>
      </c>
      <c r="I564" t="s">
        <v>3</v>
      </c>
      <c r="J564" s="6">
        <v>1400001459</v>
      </c>
      <c r="K564" t="s">
        <v>0</v>
      </c>
      <c r="L564" s="3">
        <v>6517</v>
      </c>
      <c r="M564" s="3">
        <v>6486</v>
      </c>
      <c r="N564" t="s">
        <v>4</v>
      </c>
      <c r="O564" s="6">
        <v>2007</v>
      </c>
      <c r="P564" s="12">
        <f t="shared" si="16"/>
        <v>3340</v>
      </c>
      <c r="Q564" t="str">
        <f t="shared" si="17"/>
        <v>⑤만기경과 후 12개월 초과</v>
      </c>
    </row>
    <row r="565" spans="1:17" ht="13.95" customHeight="1" outlineLevel="3" x14ac:dyDescent="0.25">
      <c r="A565" t="s">
        <v>1</v>
      </c>
      <c r="B565" s="2">
        <v>37587</v>
      </c>
      <c r="C565" s="2">
        <v>37587</v>
      </c>
      <c r="D565" s="2">
        <v>37632</v>
      </c>
      <c r="E565" s="2"/>
      <c r="F565" t="s">
        <v>2</v>
      </c>
      <c r="G565" s="3">
        <v>45</v>
      </c>
      <c r="H565" s="4">
        <v>12956</v>
      </c>
      <c r="I565" t="s">
        <v>3</v>
      </c>
      <c r="J565" s="6">
        <v>1400001460</v>
      </c>
      <c r="K565" t="s">
        <v>0</v>
      </c>
      <c r="L565" s="3">
        <v>6453</v>
      </c>
      <c r="M565" s="3">
        <v>6422</v>
      </c>
      <c r="N565" t="s">
        <v>4</v>
      </c>
      <c r="O565" s="6">
        <v>2007</v>
      </c>
      <c r="P565" s="12">
        <f t="shared" si="16"/>
        <v>3276</v>
      </c>
      <c r="Q565" t="str">
        <f t="shared" si="17"/>
        <v>⑤만기경과 후 12개월 초과</v>
      </c>
    </row>
    <row r="566" spans="1:17" ht="13.95" customHeight="1" outlineLevel="3" x14ac:dyDescent="0.25">
      <c r="A566" t="s">
        <v>1</v>
      </c>
      <c r="B566" s="2">
        <v>37726</v>
      </c>
      <c r="C566" s="2">
        <v>37726</v>
      </c>
      <c r="D566" s="2">
        <v>37771</v>
      </c>
      <c r="E566" s="2"/>
      <c r="F566" t="s">
        <v>2</v>
      </c>
      <c r="G566" s="3">
        <v>45</v>
      </c>
      <c r="H566" s="4">
        <v>48203.9</v>
      </c>
      <c r="I566" t="s">
        <v>3</v>
      </c>
      <c r="J566" s="6">
        <v>1400001461</v>
      </c>
      <c r="K566" t="s">
        <v>0</v>
      </c>
      <c r="L566" s="3">
        <v>6314</v>
      </c>
      <c r="M566" s="3">
        <v>6283</v>
      </c>
      <c r="N566" t="s">
        <v>4</v>
      </c>
      <c r="O566" s="6">
        <v>2007</v>
      </c>
      <c r="P566" s="12">
        <f t="shared" si="16"/>
        <v>3137</v>
      </c>
      <c r="Q566" t="str">
        <f t="shared" si="17"/>
        <v>⑤만기경과 후 12개월 초과</v>
      </c>
    </row>
    <row r="567" spans="1:17" ht="13.95" customHeight="1" outlineLevel="3" x14ac:dyDescent="0.25">
      <c r="A567" t="s">
        <v>1</v>
      </c>
      <c r="B567" s="2">
        <v>37774</v>
      </c>
      <c r="C567" s="2">
        <v>37774</v>
      </c>
      <c r="D567" s="2">
        <v>37819</v>
      </c>
      <c r="E567" s="2"/>
      <c r="F567" t="s">
        <v>2</v>
      </c>
      <c r="G567" s="3">
        <v>45</v>
      </c>
      <c r="H567" s="4">
        <v>3246.5</v>
      </c>
      <c r="I567" t="s">
        <v>3</v>
      </c>
      <c r="J567" s="6">
        <v>1400001462</v>
      </c>
      <c r="K567" t="s">
        <v>0</v>
      </c>
      <c r="L567" s="3">
        <v>6266</v>
      </c>
      <c r="M567" s="3">
        <v>6235</v>
      </c>
      <c r="N567" t="s">
        <v>4</v>
      </c>
      <c r="O567" s="6">
        <v>2007</v>
      </c>
      <c r="P567" s="12">
        <f t="shared" si="16"/>
        <v>3089</v>
      </c>
      <c r="Q567" t="str">
        <f t="shared" si="17"/>
        <v>⑤만기경과 후 12개월 초과</v>
      </c>
    </row>
    <row r="568" spans="1:17" ht="13.95" customHeight="1" outlineLevel="3" x14ac:dyDescent="0.25">
      <c r="A568" t="s">
        <v>1</v>
      </c>
      <c r="B568" s="2">
        <v>37825</v>
      </c>
      <c r="C568" s="2">
        <v>37825</v>
      </c>
      <c r="D568" s="2">
        <v>37870</v>
      </c>
      <c r="E568" s="2"/>
      <c r="F568" t="s">
        <v>2</v>
      </c>
      <c r="G568" s="3">
        <v>45</v>
      </c>
      <c r="H568" s="4">
        <v>25876.2</v>
      </c>
      <c r="I568" t="s">
        <v>3</v>
      </c>
      <c r="J568" s="6">
        <v>1400001463</v>
      </c>
      <c r="K568" t="s">
        <v>0</v>
      </c>
      <c r="L568" s="3">
        <v>6215</v>
      </c>
      <c r="M568" s="3">
        <v>6184</v>
      </c>
      <c r="N568" t="s">
        <v>4</v>
      </c>
      <c r="O568" s="6">
        <v>2007</v>
      </c>
      <c r="P568" s="12">
        <f t="shared" si="16"/>
        <v>3038</v>
      </c>
      <c r="Q568" t="str">
        <f t="shared" si="17"/>
        <v>⑤만기경과 후 12개월 초과</v>
      </c>
    </row>
    <row r="569" spans="1:17" ht="13.95" customHeight="1" outlineLevel="3" x14ac:dyDescent="0.25">
      <c r="A569" t="s">
        <v>1</v>
      </c>
      <c r="B569" s="2">
        <v>38183</v>
      </c>
      <c r="C569" s="2">
        <v>38183</v>
      </c>
      <c r="D569" s="2">
        <v>38228</v>
      </c>
      <c r="E569" s="2"/>
      <c r="F569" t="s">
        <v>2</v>
      </c>
      <c r="G569" s="3">
        <v>45</v>
      </c>
      <c r="H569" s="4">
        <v>36515.800000000003</v>
      </c>
      <c r="I569" t="s">
        <v>3</v>
      </c>
      <c r="J569" s="6">
        <v>1400001464</v>
      </c>
      <c r="K569" t="s">
        <v>0</v>
      </c>
      <c r="L569" s="3">
        <v>5857</v>
      </c>
      <c r="M569" s="3">
        <v>5826</v>
      </c>
      <c r="N569" t="s">
        <v>4</v>
      </c>
      <c r="O569" s="6">
        <v>2007</v>
      </c>
      <c r="P569" s="12">
        <f t="shared" si="16"/>
        <v>2680</v>
      </c>
      <c r="Q569" t="str">
        <f t="shared" si="17"/>
        <v>⑤만기경과 후 12개월 초과</v>
      </c>
    </row>
    <row r="570" spans="1:17" ht="13.95" customHeight="1" outlineLevel="3" x14ac:dyDescent="0.25">
      <c r="A570" t="s">
        <v>1</v>
      </c>
      <c r="B570" s="2">
        <v>38183</v>
      </c>
      <c r="C570" s="2">
        <v>38183</v>
      </c>
      <c r="D570" s="2">
        <v>38228</v>
      </c>
      <c r="E570" s="2"/>
      <c r="F570" t="s">
        <v>2</v>
      </c>
      <c r="G570" s="3">
        <v>45</v>
      </c>
      <c r="H570" s="4">
        <v>12185.6</v>
      </c>
      <c r="I570" t="s">
        <v>3</v>
      </c>
      <c r="J570" s="6">
        <v>1400001465</v>
      </c>
      <c r="K570" t="s">
        <v>0</v>
      </c>
      <c r="L570" s="3">
        <v>5857</v>
      </c>
      <c r="M570" s="3">
        <v>5826</v>
      </c>
      <c r="N570" t="s">
        <v>4</v>
      </c>
      <c r="O570" s="6">
        <v>2007</v>
      </c>
      <c r="P570" s="12">
        <f t="shared" si="16"/>
        <v>2680</v>
      </c>
      <c r="Q570" t="str">
        <f t="shared" si="17"/>
        <v>⑤만기경과 후 12개월 초과</v>
      </c>
    </row>
    <row r="571" spans="1:17" ht="13.95" customHeight="1" outlineLevel="3" x14ac:dyDescent="0.25">
      <c r="A571" t="s">
        <v>1</v>
      </c>
      <c r="B571" s="2">
        <v>38211</v>
      </c>
      <c r="C571" s="2">
        <v>38211</v>
      </c>
      <c r="D571" s="2">
        <v>38256</v>
      </c>
      <c r="E571" s="2"/>
      <c r="F571" t="s">
        <v>2</v>
      </c>
      <c r="G571" s="3">
        <v>45</v>
      </c>
      <c r="H571" s="4">
        <v>108193</v>
      </c>
      <c r="I571" t="s">
        <v>3</v>
      </c>
      <c r="J571" s="6">
        <v>1400001466</v>
      </c>
      <c r="K571" t="s">
        <v>0</v>
      </c>
      <c r="L571" s="3">
        <v>5829</v>
      </c>
      <c r="M571" s="3">
        <v>5798</v>
      </c>
      <c r="N571" t="s">
        <v>4</v>
      </c>
      <c r="O571" s="6">
        <v>2007</v>
      </c>
      <c r="P571" s="12">
        <f t="shared" si="16"/>
        <v>2652</v>
      </c>
      <c r="Q571" t="str">
        <f t="shared" si="17"/>
        <v>⑤만기경과 후 12개월 초과</v>
      </c>
    </row>
    <row r="572" spans="1:17" ht="13.95" customHeight="1" outlineLevel="3" x14ac:dyDescent="0.25">
      <c r="A572" t="s">
        <v>1</v>
      </c>
      <c r="B572" s="2">
        <v>38215</v>
      </c>
      <c r="C572" s="2">
        <v>38215</v>
      </c>
      <c r="D572" s="2">
        <v>38260</v>
      </c>
      <c r="E572" s="2"/>
      <c r="F572" t="s">
        <v>2</v>
      </c>
      <c r="G572" s="3">
        <v>45</v>
      </c>
      <c r="H572" s="4">
        <v>38700.199999999997</v>
      </c>
      <c r="I572" t="s">
        <v>3</v>
      </c>
      <c r="J572" s="6">
        <v>1400001467</v>
      </c>
      <c r="K572" t="s">
        <v>0</v>
      </c>
      <c r="L572" s="3">
        <v>5825</v>
      </c>
      <c r="M572" s="3">
        <v>5794</v>
      </c>
      <c r="N572" t="s">
        <v>4</v>
      </c>
      <c r="O572" s="6">
        <v>2007</v>
      </c>
      <c r="P572" s="12">
        <f t="shared" si="16"/>
        <v>2648</v>
      </c>
      <c r="Q572" t="str">
        <f t="shared" si="17"/>
        <v>⑤만기경과 후 12개월 초과</v>
      </c>
    </row>
    <row r="573" spans="1:17" ht="13.95" customHeight="1" outlineLevel="3" x14ac:dyDescent="0.25">
      <c r="A573" t="s">
        <v>1</v>
      </c>
      <c r="B573" s="2">
        <v>38215</v>
      </c>
      <c r="C573" s="2">
        <v>38215</v>
      </c>
      <c r="D573" s="2">
        <v>38260</v>
      </c>
      <c r="E573" s="2"/>
      <c r="F573" t="s">
        <v>2</v>
      </c>
      <c r="G573" s="3">
        <v>45</v>
      </c>
      <c r="H573" s="4">
        <v>29898</v>
      </c>
      <c r="I573" t="s">
        <v>3</v>
      </c>
      <c r="J573" s="6">
        <v>1400001468</v>
      </c>
      <c r="K573" t="s">
        <v>0</v>
      </c>
      <c r="L573" s="3">
        <v>5825</v>
      </c>
      <c r="M573" s="3">
        <v>5794</v>
      </c>
      <c r="N573" t="s">
        <v>4</v>
      </c>
      <c r="O573" s="6">
        <v>2007</v>
      </c>
      <c r="P573" s="12">
        <f t="shared" si="16"/>
        <v>2648</v>
      </c>
      <c r="Q573" t="str">
        <f t="shared" si="17"/>
        <v>⑤만기경과 후 12개월 초과</v>
      </c>
    </row>
    <row r="574" spans="1:17" ht="13.95" customHeight="1" outlineLevel="3" x14ac:dyDescent="0.25">
      <c r="A574" t="s">
        <v>1</v>
      </c>
      <c r="B574" s="2">
        <v>38380</v>
      </c>
      <c r="C574" s="2">
        <v>38380</v>
      </c>
      <c r="D574" s="2">
        <v>38425</v>
      </c>
      <c r="E574" s="2"/>
      <c r="F574" t="s">
        <v>2</v>
      </c>
      <c r="G574" s="3">
        <v>45</v>
      </c>
      <c r="H574" s="4">
        <v>6161</v>
      </c>
      <c r="I574" t="s">
        <v>3</v>
      </c>
      <c r="J574" s="6">
        <v>1400000295</v>
      </c>
      <c r="K574" t="s">
        <v>0</v>
      </c>
      <c r="L574" s="3">
        <v>5660</v>
      </c>
      <c r="M574" s="3">
        <v>5629</v>
      </c>
      <c r="N574" t="s">
        <v>4</v>
      </c>
      <c r="O574" s="6">
        <v>2007</v>
      </c>
      <c r="P574" s="12">
        <f t="shared" si="16"/>
        <v>2483</v>
      </c>
      <c r="Q574" t="str">
        <f t="shared" si="17"/>
        <v>⑤만기경과 후 12개월 초과</v>
      </c>
    </row>
    <row r="575" spans="1:17" ht="13.95" customHeight="1" outlineLevel="3" x14ac:dyDescent="0.25">
      <c r="A575" t="s">
        <v>1</v>
      </c>
      <c r="B575" s="2">
        <v>38380</v>
      </c>
      <c r="C575" s="2">
        <v>38380</v>
      </c>
      <c r="D575" s="2">
        <v>38425</v>
      </c>
      <c r="E575" s="2"/>
      <c r="F575" t="s">
        <v>2</v>
      </c>
      <c r="G575" s="3">
        <v>45</v>
      </c>
      <c r="H575" s="4">
        <v>3246.5</v>
      </c>
      <c r="I575" t="s">
        <v>3</v>
      </c>
      <c r="J575" s="6">
        <v>1400000297</v>
      </c>
      <c r="K575" t="s">
        <v>0</v>
      </c>
      <c r="L575" s="3">
        <v>5660</v>
      </c>
      <c r="M575" s="3">
        <v>5629</v>
      </c>
      <c r="N575" t="s">
        <v>4</v>
      </c>
      <c r="O575" s="6">
        <v>2130</v>
      </c>
      <c r="P575" s="12">
        <f t="shared" si="16"/>
        <v>2483</v>
      </c>
      <c r="Q575" t="str">
        <f t="shared" si="17"/>
        <v>⑤만기경과 후 12개월 초과</v>
      </c>
    </row>
    <row r="576" spans="1:17" ht="13.95" customHeight="1" outlineLevel="3" x14ac:dyDescent="0.25">
      <c r="A576" t="s">
        <v>1</v>
      </c>
      <c r="B576" s="2">
        <v>38380</v>
      </c>
      <c r="C576" s="2">
        <v>38380</v>
      </c>
      <c r="D576" s="2">
        <v>38425</v>
      </c>
      <c r="E576" s="2"/>
      <c r="F576" t="s">
        <v>2</v>
      </c>
      <c r="G576" s="3">
        <v>45</v>
      </c>
      <c r="H576" s="4">
        <v>27108.400000000001</v>
      </c>
      <c r="I576" t="s">
        <v>3</v>
      </c>
      <c r="J576" s="6">
        <v>1400000296</v>
      </c>
      <c r="K576" t="s">
        <v>0</v>
      </c>
      <c r="L576" s="3">
        <v>5660</v>
      </c>
      <c r="M576" s="3">
        <v>5629</v>
      </c>
      <c r="N576" t="s">
        <v>4</v>
      </c>
      <c r="O576" s="6">
        <v>2130</v>
      </c>
      <c r="P576" s="12">
        <f t="shared" si="16"/>
        <v>2483</v>
      </c>
      <c r="Q576" t="str">
        <f t="shared" si="17"/>
        <v>⑤만기경과 후 12개월 초과</v>
      </c>
    </row>
    <row r="577" spans="1:17" ht="13.95" customHeight="1" outlineLevel="3" x14ac:dyDescent="0.25">
      <c r="A577" t="s">
        <v>1</v>
      </c>
      <c r="B577" s="2">
        <v>38215</v>
      </c>
      <c r="C577" s="2">
        <v>38215</v>
      </c>
      <c r="D577" s="2">
        <v>38260</v>
      </c>
      <c r="E577" s="2"/>
      <c r="F577" t="s">
        <v>2</v>
      </c>
      <c r="G577" s="3">
        <v>45</v>
      </c>
      <c r="H577" s="4">
        <v>15544.8</v>
      </c>
      <c r="I577" t="s">
        <v>3</v>
      </c>
      <c r="J577" s="6">
        <v>1400001475</v>
      </c>
      <c r="K577" t="s">
        <v>0</v>
      </c>
      <c r="L577" s="3">
        <v>5825</v>
      </c>
      <c r="M577" s="3">
        <v>5794</v>
      </c>
      <c r="N577" t="s">
        <v>4</v>
      </c>
      <c r="O577" s="6">
        <v>2130</v>
      </c>
      <c r="P577" s="12">
        <f t="shared" si="16"/>
        <v>2648</v>
      </c>
      <c r="Q577" t="str">
        <f t="shared" si="17"/>
        <v>⑤만기경과 후 12개월 초과</v>
      </c>
    </row>
    <row r="578" spans="1:17" ht="13.95" customHeight="1" outlineLevel="3" x14ac:dyDescent="0.25">
      <c r="A578" t="s">
        <v>1</v>
      </c>
      <c r="B578" s="2">
        <v>38211</v>
      </c>
      <c r="C578" s="2">
        <v>38211</v>
      </c>
      <c r="D578" s="2">
        <v>38256</v>
      </c>
      <c r="E578" s="2"/>
      <c r="F578" t="s">
        <v>2</v>
      </c>
      <c r="G578" s="3">
        <v>45</v>
      </c>
      <c r="H578" s="4">
        <v>119802.05</v>
      </c>
      <c r="I578" t="s">
        <v>3</v>
      </c>
      <c r="J578" s="6">
        <v>1400001474</v>
      </c>
      <c r="K578" t="s">
        <v>0</v>
      </c>
      <c r="L578" s="3">
        <v>5829</v>
      </c>
      <c r="M578" s="3">
        <v>5798</v>
      </c>
      <c r="N578" t="s">
        <v>4</v>
      </c>
      <c r="O578" s="6">
        <v>2130</v>
      </c>
      <c r="P578" s="12">
        <f t="shared" si="16"/>
        <v>2652</v>
      </c>
      <c r="Q578" t="str">
        <f t="shared" si="17"/>
        <v>⑤만기경과 후 12개월 초과</v>
      </c>
    </row>
    <row r="579" spans="1:17" ht="13.95" customHeight="1" outlineLevel="3" x14ac:dyDescent="0.25">
      <c r="A579" t="s">
        <v>1</v>
      </c>
      <c r="B579" s="2">
        <v>38183</v>
      </c>
      <c r="C579" s="2">
        <v>38183</v>
      </c>
      <c r="D579" s="2">
        <v>38228</v>
      </c>
      <c r="E579" s="2"/>
      <c r="F579" t="s">
        <v>2</v>
      </c>
      <c r="G579" s="3">
        <v>45</v>
      </c>
      <c r="H579" s="4">
        <v>46900.4</v>
      </c>
      <c r="I579" t="s">
        <v>3</v>
      </c>
      <c r="J579" s="6">
        <v>1400001473</v>
      </c>
      <c r="K579" t="s">
        <v>0</v>
      </c>
      <c r="L579" s="3">
        <v>5857</v>
      </c>
      <c r="M579" s="3">
        <v>5826</v>
      </c>
      <c r="N579" t="s">
        <v>4</v>
      </c>
      <c r="O579" s="6">
        <v>2130</v>
      </c>
      <c r="P579" s="12">
        <f t="shared" ref="P579:P642" si="18">$T$1-D579</f>
        <v>2680</v>
      </c>
      <c r="Q579" t="str">
        <f t="shared" ref="Q579:Q642" si="19">IF(P579&lt;=0,"①연체되지 않은 채권",IF(P579&lt;=92,"②만기경과 후 3개월 이하",IF(P579&lt;=184,"③만기경과 후 4~6개월",IF(P579&lt;=365,"④만기경과 후 7~12개월","⑤만기경과 후 12개월 초과"))))</f>
        <v>⑤만기경과 후 12개월 초과</v>
      </c>
    </row>
    <row r="580" spans="1:17" ht="13.95" customHeight="1" outlineLevel="3" x14ac:dyDescent="0.25">
      <c r="A580" t="s">
        <v>1</v>
      </c>
      <c r="B580" s="2">
        <v>37774</v>
      </c>
      <c r="C580" s="2">
        <v>37774</v>
      </c>
      <c r="D580" s="2">
        <v>37819</v>
      </c>
      <c r="E580" s="2"/>
      <c r="F580" t="s">
        <v>2</v>
      </c>
      <c r="G580" s="3">
        <v>45</v>
      </c>
      <c r="H580" s="4">
        <v>4928.8</v>
      </c>
      <c r="I580" t="s">
        <v>3</v>
      </c>
      <c r="J580" s="6">
        <v>1400001472</v>
      </c>
      <c r="K580" t="s">
        <v>0</v>
      </c>
      <c r="L580" s="3">
        <v>6266</v>
      </c>
      <c r="M580" s="3">
        <v>6235</v>
      </c>
      <c r="N580" t="s">
        <v>4</v>
      </c>
      <c r="O580" s="6">
        <v>2130</v>
      </c>
      <c r="P580" s="12">
        <f t="shared" si="18"/>
        <v>3089</v>
      </c>
      <c r="Q580" t="str">
        <f t="shared" si="19"/>
        <v>⑤만기경과 후 12개월 초과</v>
      </c>
    </row>
    <row r="581" spans="1:17" ht="13.95" customHeight="1" outlineLevel="3" x14ac:dyDescent="0.25">
      <c r="A581" t="s">
        <v>1</v>
      </c>
      <c r="B581" s="2">
        <v>37726</v>
      </c>
      <c r="C581" s="2">
        <v>37726</v>
      </c>
      <c r="D581" s="2">
        <v>37771</v>
      </c>
      <c r="E581" s="2"/>
      <c r="F581" t="s">
        <v>2</v>
      </c>
      <c r="G581" s="3">
        <v>45</v>
      </c>
      <c r="H581" s="4">
        <v>22876.9</v>
      </c>
      <c r="I581" t="s">
        <v>3</v>
      </c>
      <c r="J581" s="6">
        <v>1400001471</v>
      </c>
      <c r="K581" t="s">
        <v>0</v>
      </c>
      <c r="L581" s="3">
        <v>6314</v>
      </c>
      <c r="M581" s="3">
        <v>6283</v>
      </c>
      <c r="N581" t="s">
        <v>4</v>
      </c>
      <c r="O581" s="6">
        <v>2130</v>
      </c>
      <c r="P581" s="12">
        <f t="shared" si="18"/>
        <v>3137</v>
      </c>
      <c r="Q581" t="str">
        <f t="shared" si="19"/>
        <v>⑤만기경과 후 12개월 초과</v>
      </c>
    </row>
    <row r="582" spans="1:17" ht="13.95" customHeight="1" outlineLevel="3" x14ac:dyDescent="0.25">
      <c r="A582" t="s">
        <v>1</v>
      </c>
      <c r="B582" s="2">
        <v>37726</v>
      </c>
      <c r="C582" s="2">
        <v>37726</v>
      </c>
      <c r="D582" s="2">
        <v>37771</v>
      </c>
      <c r="E582" s="2"/>
      <c r="F582" t="s">
        <v>2</v>
      </c>
      <c r="G582" s="3">
        <v>45</v>
      </c>
      <c r="H582" s="4">
        <v>40978.6</v>
      </c>
      <c r="I582" t="s">
        <v>3</v>
      </c>
      <c r="J582" s="6">
        <v>1400001470</v>
      </c>
      <c r="K582" t="s">
        <v>0</v>
      </c>
      <c r="L582" s="3">
        <v>6314</v>
      </c>
      <c r="M582" s="3">
        <v>6283</v>
      </c>
      <c r="N582" t="s">
        <v>4</v>
      </c>
      <c r="O582" s="6">
        <v>2130</v>
      </c>
      <c r="P582" s="12">
        <f t="shared" si="18"/>
        <v>3137</v>
      </c>
      <c r="Q582" t="str">
        <f t="shared" si="19"/>
        <v>⑤만기경과 후 12개월 초과</v>
      </c>
    </row>
    <row r="583" spans="1:17" ht="13.95" customHeight="1" outlineLevel="3" x14ac:dyDescent="0.25">
      <c r="A583" t="s">
        <v>1</v>
      </c>
      <c r="B583" s="2">
        <v>37677</v>
      </c>
      <c r="C583" s="2">
        <v>37677</v>
      </c>
      <c r="D583" s="2">
        <v>37722</v>
      </c>
      <c r="E583" s="2"/>
      <c r="F583" t="s">
        <v>2</v>
      </c>
      <c r="G583" s="3">
        <v>45</v>
      </c>
      <c r="H583" s="4">
        <v>27108.400000000001</v>
      </c>
      <c r="I583" t="s">
        <v>3</v>
      </c>
      <c r="J583" s="6">
        <v>1400001469</v>
      </c>
      <c r="K583" t="s">
        <v>0</v>
      </c>
      <c r="L583" s="3">
        <v>6363</v>
      </c>
      <c r="M583" s="3">
        <v>6332</v>
      </c>
      <c r="N583" t="s">
        <v>4</v>
      </c>
      <c r="O583" s="6">
        <v>2130</v>
      </c>
      <c r="P583" s="12">
        <f t="shared" si="18"/>
        <v>3186</v>
      </c>
      <c r="Q583" t="str">
        <f t="shared" si="19"/>
        <v>⑤만기경과 후 12개월 초과</v>
      </c>
    </row>
    <row r="584" spans="1:17" ht="13.95" customHeight="1" outlineLevel="3" x14ac:dyDescent="0.25">
      <c r="A584" t="s">
        <v>1</v>
      </c>
      <c r="B584" s="2">
        <v>37587</v>
      </c>
      <c r="C584" s="2">
        <v>37587</v>
      </c>
      <c r="D584" s="2">
        <v>37632</v>
      </c>
      <c r="E584" s="2"/>
      <c r="F584" t="s">
        <v>2</v>
      </c>
      <c r="G584" s="3">
        <v>45</v>
      </c>
      <c r="H584" s="4">
        <v>10823.4</v>
      </c>
      <c r="I584" t="s">
        <v>3</v>
      </c>
      <c r="J584" s="6">
        <v>1400001433</v>
      </c>
      <c r="K584" t="s">
        <v>0</v>
      </c>
      <c r="L584" s="3">
        <v>6453</v>
      </c>
      <c r="M584" s="3">
        <v>6422</v>
      </c>
      <c r="N584" t="s">
        <v>4</v>
      </c>
      <c r="O584" s="6">
        <v>2130</v>
      </c>
      <c r="P584" s="12">
        <f t="shared" si="18"/>
        <v>3276</v>
      </c>
      <c r="Q584" t="str">
        <f t="shared" si="19"/>
        <v>⑤만기경과 후 12개월 초과</v>
      </c>
    </row>
    <row r="585" spans="1:17" ht="13.95" customHeight="1" outlineLevel="3" x14ac:dyDescent="0.25">
      <c r="A585" t="s">
        <v>1</v>
      </c>
      <c r="B585" s="2">
        <v>37594</v>
      </c>
      <c r="C585" s="2">
        <v>37594</v>
      </c>
      <c r="D585" s="2">
        <v>37639</v>
      </c>
      <c r="E585" s="2"/>
      <c r="F585" t="s">
        <v>2</v>
      </c>
      <c r="G585" s="3">
        <v>45</v>
      </c>
      <c r="H585" s="4">
        <v>11030.6</v>
      </c>
      <c r="I585" t="s">
        <v>3</v>
      </c>
      <c r="J585" s="6">
        <v>1400001485</v>
      </c>
      <c r="K585" t="s">
        <v>0</v>
      </c>
      <c r="L585" s="3">
        <v>6446</v>
      </c>
      <c r="M585" s="3">
        <v>6415</v>
      </c>
      <c r="N585" t="s">
        <v>4</v>
      </c>
      <c r="O585" s="6">
        <v>2141</v>
      </c>
      <c r="P585" s="12">
        <f t="shared" si="18"/>
        <v>3269</v>
      </c>
      <c r="Q585" t="str">
        <f t="shared" si="19"/>
        <v>⑤만기경과 후 12개월 초과</v>
      </c>
    </row>
    <row r="586" spans="1:17" ht="13.95" customHeight="1" outlineLevel="3" x14ac:dyDescent="0.25">
      <c r="A586" t="s">
        <v>1</v>
      </c>
      <c r="B586" s="2">
        <v>37594</v>
      </c>
      <c r="C586" s="2">
        <v>37594</v>
      </c>
      <c r="D586" s="2">
        <v>37639</v>
      </c>
      <c r="E586" s="2"/>
      <c r="F586" t="s">
        <v>2</v>
      </c>
      <c r="G586" s="3">
        <v>45</v>
      </c>
      <c r="H586" s="4">
        <v>19878.8</v>
      </c>
      <c r="I586" t="s">
        <v>3</v>
      </c>
      <c r="J586" s="6">
        <v>1400001486</v>
      </c>
      <c r="K586" t="s">
        <v>0</v>
      </c>
      <c r="L586" s="3">
        <v>6446</v>
      </c>
      <c r="M586" s="3">
        <v>6415</v>
      </c>
      <c r="N586" t="s">
        <v>4</v>
      </c>
      <c r="O586" s="6">
        <v>2141</v>
      </c>
      <c r="P586" s="12">
        <f t="shared" si="18"/>
        <v>3269</v>
      </c>
      <c r="Q586" t="str">
        <f t="shared" si="19"/>
        <v>⑤만기경과 후 12개월 초과</v>
      </c>
    </row>
    <row r="587" spans="1:17" ht="13.95" customHeight="1" outlineLevel="3" x14ac:dyDescent="0.25">
      <c r="A587" t="s">
        <v>1</v>
      </c>
      <c r="B587" s="2">
        <v>37594</v>
      </c>
      <c r="C587" s="2">
        <v>37594</v>
      </c>
      <c r="D587" s="2">
        <v>37639</v>
      </c>
      <c r="E587" s="2"/>
      <c r="F587" t="s">
        <v>2</v>
      </c>
      <c r="G587" s="3">
        <v>45</v>
      </c>
      <c r="H587" s="4">
        <v>19878.8</v>
      </c>
      <c r="I587" t="s">
        <v>3</v>
      </c>
      <c r="J587" s="6">
        <v>1400001487</v>
      </c>
      <c r="K587" t="s">
        <v>0</v>
      </c>
      <c r="L587" s="3">
        <v>6446</v>
      </c>
      <c r="M587" s="3">
        <v>6415</v>
      </c>
      <c r="N587" t="s">
        <v>4</v>
      </c>
      <c r="O587" s="6">
        <v>2141</v>
      </c>
      <c r="P587" s="12">
        <f t="shared" si="18"/>
        <v>3269</v>
      </c>
      <c r="Q587" t="str">
        <f t="shared" si="19"/>
        <v>⑤만기경과 후 12개월 초과</v>
      </c>
    </row>
    <row r="588" spans="1:17" ht="13.95" customHeight="1" outlineLevel="3" x14ac:dyDescent="0.25">
      <c r="A588" t="s">
        <v>1</v>
      </c>
      <c r="B588" s="2">
        <v>37587</v>
      </c>
      <c r="C588" s="2">
        <v>37587</v>
      </c>
      <c r="D588" s="2">
        <v>37632</v>
      </c>
      <c r="E588" s="2"/>
      <c r="F588" t="s">
        <v>2</v>
      </c>
      <c r="G588" s="3">
        <v>45</v>
      </c>
      <c r="H588" s="4">
        <v>15739.6</v>
      </c>
      <c r="I588" t="s">
        <v>3</v>
      </c>
      <c r="J588" s="6">
        <v>1400001488</v>
      </c>
      <c r="K588" t="s">
        <v>0</v>
      </c>
      <c r="L588" s="3">
        <v>6453</v>
      </c>
      <c r="M588" s="3">
        <v>6422</v>
      </c>
      <c r="N588" t="s">
        <v>4</v>
      </c>
      <c r="O588" s="6">
        <v>2200</v>
      </c>
      <c r="P588" s="12">
        <f t="shared" si="18"/>
        <v>3276</v>
      </c>
      <c r="Q588" t="str">
        <f t="shared" si="19"/>
        <v>⑤만기경과 후 12개월 초과</v>
      </c>
    </row>
    <row r="589" spans="1:17" ht="13.95" customHeight="1" outlineLevel="3" x14ac:dyDescent="0.25">
      <c r="A589" t="s">
        <v>1</v>
      </c>
      <c r="B589" s="2">
        <v>37587</v>
      </c>
      <c r="C589" s="2">
        <v>37587</v>
      </c>
      <c r="D589" s="2">
        <v>37632</v>
      </c>
      <c r="E589" s="2"/>
      <c r="F589" t="s">
        <v>2</v>
      </c>
      <c r="G589" s="3">
        <v>45</v>
      </c>
      <c r="H589" s="4">
        <v>50416.5</v>
      </c>
      <c r="I589" t="s">
        <v>3</v>
      </c>
      <c r="J589" s="6">
        <v>1400001489</v>
      </c>
      <c r="K589" t="s">
        <v>0</v>
      </c>
      <c r="L589" s="3">
        <v>6453</v>
      </c>
      <c r="M589" s="3">
        <v>6422</v>
      </c>
      <c r="N589" t="s">
        <v>4</v>
      </c>
      <c r="O589" s="6">
        <v>2200</v>
      </c>
      <c r="P589" s="12">
        <f t="shared" si="18"/>
        <v>3276</v>
      </c>
      <c r="Q589" t="str">
        <f t="shared" si="19"/>
        <v>⑤만기경과 후 12개월 초과</v>
      </c>
    </row>
    <row r="590" spans="1:17" ht="13.95" customHeight="1" outlineLevel="3" x14ac:dyDescent="0.25">
      <c r="A590" t="s">
        <v>1</v>
      </c>
      <c r="B590" s="2">
        <v>37726</v>
      </c>
      <c r="C590" s="2">
        <v>37726</v>
      </c>
      <c r="D590" s="2">
        <v>37771</v>
      </c>
      <c r="E590" s="2"/>
      <c r="F590" t="s">
        <v>2</v>
      </c>
      <c r="G590" s="3">
        <v>45</v>
      </c>
      <c r="H590" s="4">
        <v>196243.8</v>
      </c>
      <c r="I590" t="s">
        <v>3</v>
      </c>
      <c r="J590" s="6">
        <v>1400001490</v>
      </c>
      <c r="K590" t="s">
        <v>0</v>
      </c>
      <c r="L590" s="3">
        <v>6314</v>
      </c>
      <c r="M590" s="3">
        <v>6283</v>
      </c>
      <c r="N590" t="s">
        <v>4</v>
      </c>
      <c r="O590" s="6">
        <v>2200</v>
      </c>
      <c r="P590" s="12">
        <f t="shared" si="18"/>
        <v>3137</v>
      </c>
      <c r="Q590" t="str">
        <f t="shared" si="19"/>
        <v>⑤만기경과 후 12개월 초과</v>
      </c>
    </row>
    <row r="591" spans="1:17" ht="13.95" customHeight="1" outlineLevel="3" x14ac:dyDescent="0.25">
      <c r="A591" t="s">
        <v>1</v>
      </c>
      <c r="B591" s="2">
        <v>38183</v>
      </c>
      <c r="C591" s="2">
        <v>38183</v>
      </c>
      <c r="D591" s="2">
        <v>38228</v>
      </c>
      <c r="E591" s="2"/>
      <c r="F591" t="s">
        <v>2</v>
      </c>
      <c r="G591" s="3">
        <v>45</v>
      </c>
      <c r="H591" s="4">
        <v>174276.8</v>
      </c>
      <c r="I591" t="s">
        <v>3</v>
      </c>
      <c r="J591" s="6">
        <v>1400001491</v>
      </c>
      <c r="K591" t="s">
        <v>0</v>
      </c>
      <c r="L591" s="3">
        <v>5857</v>
      </c>
      <c r="M591" s="3">
        <v>5826</v>
      </c>
      <c r="N591" t="s">
        <v>4</v>
      </c>
      <c r="O591" s="6">
        <v>2200</v>
      </c>
      <c r="P591" s="12">
        <f t="shared" si="18"/>
        <v>2680</v>
      </c>
      <c r="Q591" t="str">
        <f t="shared" si="19"/>
        <v>⑤만기경과 후 12개월 초과</v>
      </c>
    </row>
    <row r="592" spans="1:17" ht="13.95" customHeight="1" outlineLevel="3" x14ac:dyDescent="0.25">
      <c r="A592" t="s">
        <v>1</v>
      </c>
      <c r="B592" s="2">
        <v>38183</v>
      </c>
      <c r="C592" s="2">
        <v>38183</v>
      </c>
      <c r="D592" s="2">
        <v>38228</v>
      </c>
      <c r="E592" s="2"/>
      <c r="F592" t="s">
        <v>2</v>
      </c>
      <c r="G592" s="3">
        <v>45</v>
      </c>
      <c r="H592" s="4">
        <v>37609.599999999999</v>
      </c>
      <c r="I592" t="s">
        <v>3</v>
      </c>
      <c r="J592" s="6">
        <v>1400001492</v>
      </c>
      <c r="K592" t="s">
        <v>0</v>
      </c>
      <c r="L592" s="3">
        <v>5857</v>
      </c>
      <c r="M592" s="3">
        <v>5826</v>
      </c>
      <c r="N592" t="s">
        <v>4</v>
      </c>
      <c r="O592" s="6">
        <v>2200</v>
      </c>
      <c r="P592" s="12">
        <f t="shared" si="18"/>
        <v>2680</v>
      </c>
      <c r="Q592" t="str">
        <f t="shared" si="19"/>
        <v>⑤만기경과 후 12개월 초과</v>
      </c>
    </row>
    <row r="593" spans="1:17" ht="13.95" customHeight="1" outlineLevel="3" x14ac:dyDescent="0.25">
      <c r="A593" t="s">
        <v>1</v>
      </c>
      <c r="B593" s="2">
        <v>38215</v>
      </c>
      <c r="C593" s="2">
        <v>38215</v>
      </c>
      <c r="D593" s="2">
        <v>38260</v>
      </c>
      <c r="E593" s="2"/>
      <c r="F593" t="s">
        <v>2</v>
      </c>
      <c r="G593" s="3">
        <v>45</v>
      </c>
      <c r="H593" s="4">
        <v>64400</v>
      </c>
      <c r="I593" t="s">
        <v>3</v>
      </c>
      <c r="J593" s="6">
        <v>1400001493</v>
      </c>
      <c r="K593" t="s">
        <v>0</v>
      </c>
      <c r="L593" s="3">
        <v>5825</v>
      </c>
      <c r="M593" s="3">
        <v>5794</v>
      </c>
      <c r="N593" t="s">
        <v>4</v>
      </c>
      <c r="O593" s="6">
        <v>2200</v>
      </c>
      <c r="P593" s="12">
        <f t="shared" si="18"/>
        <v>2648</v>
      </c>
      <c r="Q593" t="str">
        <f t="shared" si="19"/>
        <v>⑤만기경과 후 12개월 초과</v>
      </c>
    </row>
    <row r="594" spans="1:17" ht="13.95" customHeight="1" outlineLevel="3" x14ac:dyDescent="0.25">
      <c r="A594" t="s">
        <v>1</v>
      </c>
      <c r="B594" s="2">
        <v>38215</v>
      </c>
      <c r="C594" s="2">
        <v>38215</v>
      </c>
      <c r="D594" s="2">
        <v>38260</v>
      </c>
      <c r="E594" s="2"/>
      <c r="F594" t="s">
        <v>2</v>
      </c>
      <c r="G594" s="3">
        <v>45</v>
      </c>
      <c r="H594" s="4">
        <v>52524.5</v>
      </c>
      <c r="I594" t="s">
        <v>3</v>
      </c>
      <c r="J594" s="6">
        <v>1400001494</v>
      </c>
      <c r="K594" t="s">
        <v>0</v>
      </c>
      <c r="L594" s="3">
        <v>5825</v>
      </c>
      <c r="M594" s="3">
        <v>5794</v>
      </c>
      <c r="N594" t="s">
        <v>4</v>
      </c>
      <c r="O594" s="6">
        <v>2200</v>
      </c>
      <c r="P594" s="12">
        <f t="shared" si="18"/>
        <v>2648</v>
      </c>
      <c r="Q594" t="str">
        <f t="shared" si="19"/>
        <v>⑤만기경과 후 12개월 초과</v>
      </c>
    </row>
    <row r="595" spans="1:17" ht="13.95" customHeight="1" outlineLevel="3" x14ac:dyDescent="0.25">
      <c r="A595" t="s">
        <v>7</v>
      </c>
      <c r="B595" s="2">
        <v>36812</v>
      </c>
      <c r="C595" s="2">
        <v>36812</v>
      </c>
      <c r="D595" s="2">
        <v>36812</v>
      </c>
      <c r="E595" s="2"/>
      <c r="F595" t="s">
        <v>2</v>
      </c>
      <c r="G595" s="3">
        <v>0</v>
      </c>
      <c r="H595" s="4">
        <v>3447.41</v>
      </c>
      <c r="I595" t="s">
        <v>3</v>
      </c>
      <c r="J595" s="6">
        <v>1600000340</v>
      </c>
      <c r="K595" t="s">
        <v>8</v>
      </c>
      <c r="L595" s="3">
        <v>7242</v>
      </c>
      <c r="M595" s="3">
        <v>7242</v>
      </c>
      <c r="N595" t="s">
        <v>4</v>
      </c>
      <c r="O595" s="6">
        <v>3450</v>
      </c>
      <c r="P595" s="12">
        <f t="shared" si="18"/>
        <v>4096</v>
      </c>
      <c r="Q595" t="str">
        <f t="shared" si="19"/>
        <v>⑤만기경과 후 12개월 초과</v>
      </c>
    </row>
    <row r="596" spans="1:17" ht="13.95" customHeight="1" outlineLevel="3" x14ac:dyDescent="0.25">
      <c r="A596" t="s">
        <v>7</v>
      </c>
      <c r="B596" s="2">
        <v>36831</v>
      </c>
      <c r="C596" s="2">
        <v>36831</v>
      </c>
      <c r="D596" s="2">
        <v>36831</v>
      </c>
      <c r="E596" s="2"/>
      <c r="F596" t="s">
        <v>2</v>
      </c>
      <c r="G596" s="3">
        <v>0</v>
      </c>
      <c r="H596" s="4">
        <v>1995.57</v>
      </c>
      <c r="I596" t="s">
        <v>3</v>
      </c>
      <c r="J596" s="6">
        <v>1600000316</v>
      </c>
      <c r="K596" t="s">
        <v>8</v>
      </c>
      <c r="L596" s="3">
        <v>7223</v>
      </c>
      <c r="M596" s="3">
        <v>7223</v>
      </c>
      <c r="N596" t="s">
        <v>4</v>
      </c>
      <c r="O596" s="6">
        <v>3450</v>
      </c>
      <c r="P596" s="12">
        <f t="shared" si="18"/>
        <v>4077</v>
      </c>
      <c r="Q596" t="str">
        <f t="shared" si="19"/>
        <v>⑤만기경과 후 12개월 초과</v>
      </c>
    </row>
    <row r="597" spans="1:17" ht="13.95" customHeight="1" outlineLevel="3" x14ac:dyDescent="0.25">
      <c r="A597" t="s">
        <v>7</v>
      </c>
      <c r="B597" s="2">
        <v>36812</v>
      </c>
      <c r="C597" s="2">
        <v>36812</v>
      </c>
      <c r="D597" s="2">
        <v>36812</v>
      </c>
      <c r="E597" s="2"/>
      <c r="F597" t="s">
        <v>2</v>
      </c>
      <c r="G597" s="3">
        <v>0</v>
      </c>
      <c r="H597" s="4">
        <v>2746.19</v>
      </c>
      <c r="I597" t="s">
        <v>3</v>
      </c>
      <c r="J597" s="6">
        <v>1600000342</v>
      </c>
      <c r="K597" t="s">
        <v>0</v>
      </c>
      <c r="L597" s="3">
        <v>7242</v>
      </c>
      <c r="M597" s="3">
        <v>7242</v>
      </c>
      <c r="N597" t="s">
        <v>4</v>
      </c>
      <c r="O597" s="6">
        <v>3454</v>
      </c>
      <c r="P597" s="12">
        <f t="shared" si="18"/>
        <v>4096</v>
      </c>
      <c r="Q597" t="str">
        <f t="shared" si="19"/>
        <v>⑤만기경과 후 12개월 초과</v>
      </c>
    </row>
    <row r="598" spans="1:17" ht="13.95" customHeight="1" outlineLevel="3" x14ac:dyDescent="0.25">
      <c r="A598" t="s">
        <v>7</v>
      </c>
      <c r="B598" s="2">
        <v>36831</v>
      </c>
      <c r="C598" s="2">
        <v>36831</v>
      </c>
      <c r="D598" s="2">
        <v>36831</v>
      </c>
      <c r="E598" s="2"/>
      <c r="F598" t="s">
        <v>2</v>
      </c>
      <c r="G598" s="3">
        <v>0</v>
      </c>
      <c r="H598" s="4">
        <v>2487.44</v>
      </c>
      <c r="I598" t="s">
        <v>3</v>
      </c>
      <c r="J598" s="6">
        <v>1600000317</v>
      </c>
      <c r="K598" t="s">
        <v>0</v>
      </c>
      <c r="L598" s="3">
        <v>7223</v>
      </c>
      <c r="M598" s="3">
        <v>7223</v>
      </c>
      <c r="N598" t="s">
        <v>4</v>
      </c>
      <c r="O598" s="6">
        <v>3454</v>
      </c>
      <c r="P598" s="12">
        <f t="shared" si="18"/>
        <v>4077</v>
      </c>
      <c r="Q598" t="str">
        <f t="shared" si="19"/>
        <v>⑤만기경과 후 12개월 초과</v>
      </c>
    </row>
    <row r="599" spans="1:17" ht="13.95" customHeight="1" outlineLevel="3" x14ac:dyDescent="0.25">
      <c r="A599" t="s">
        <v>7</v>
      </c>
      <c r="B599" s="2">
        <v>36861</v>
      </c>
      <c r="C599" s="2">
        <v>36861</v>
      </c>
      <c r="D599" s="2">
        <v>36861</v>
      </c>
      <c r="E599" s="2"/>
      <c r="F599" t="s">
        <v>2</v>
      </c>
      <c r="G599" s="3">
        <v>0</v>
      </c>
      <c r="H599" s="4">
        <v>-174</v>
      </c>
      <c r="I599" t="s">
        <v>3</v>
      </c>
      <c r="J599" s="6">
        <v>1600000305</v>
      </c>
      <c r="K599" t="s">
        <v>0</v>
      </c>
      <c r="L599" s="3">
        <v>7193</v>
      </c>
      <c r="M599" s="3">
        <v>7193</v>
      </c>
      <c r="N599" t="s">
        <v>4</v>
      </c>
      <c r="O599" s="6">
        <v>3454</v>
      </c>
      <c r="P599" s="12">
        <f t="shared" si="18"/>
        <v>4047</v>
      </c>
      <c r="Q599" t="str">
        <f t="shared" si="19"/>
        <v>⑤만기경과 후 12개월 초과</v>
      </c>
    </row>
    <row r="600" spans="1:17" ht="13.95" customHeight="1" outlineLevel="3" x14ac:dyDescent="0.25">
      <c r="A600" t="s">
        <v>7</v>
      </c>
      <c r="B600" s="2">
        <v>36861</v>
      </c>
      <c r="C600" s="2">
        <v>36861</v>
      </c>
      <c r="D600" s="2">
        <v>36861</v>
      </c>
      <c r="E600" s="2"/>
      <c r="F600" t="s">
        <v>2</v>
      </c>
      <c r="G600" s="3">
        <v>0</v>
      </c>
      <c r="H600" s="4">
        <v>3932.25</v>
      </c>
      <c r="I600" t="s">
        <v>3</v>
      </c>
      <c r="J600" s="6">
        <v>1600000305</v>
      </c>
      <c r="K600" t="s">
        <v>0</v>
      </c>
      <c r="L600" s="3">
        <v>7193</v>
      </c>
      <c r="M600" s="3">
        <v>7193</v>
      </c>
      <c r="N600" t="s">
        <v>4</v>
      </c>
      <c r="O600" s="6">
        <v>3454</v>
      </c>
      <c r="P600" s="12">
        <f t="shared" si="18"/>
        <v>4047</v>
      </c>
      <c r="Q600" t="str">
        <f t="shared" si="19"/>
        <v>⑤만기경과 후 12개월 초과</v>
      </c>
    </row>
    <row r="601" spans="1:17" ht="13.95" customHeight="1" outlineLevel="3" x14ac:dyDescent="0.25">
      <c r="A601" t="s">
        <v>7</v>
      </c>
      <c r="B601" s="2">
        <v>36831</v>
      </c>
      <c r="C601" s="2">
        <v>36831</v>
      </c>
      <c r="D601" s="2">
        <v>36831</v>
      </c>
      <c r="E601" s="2"/>
      <c r="F601" t="s">
        <v>2</v>
      </c>
      <c r="G601" s="3">
        <v>0</v>
      </c>
      <c r="H601" s="4">
        <v>-174</v>
      </c>
      <c r="I601" t="s">
        <v>3</v>
      </c>
      <c r="J601" s="6">
        <v>1600000284</v>
      </c>
      <c r="K601" t="s">
        <v>0</v>
      </c>
      <c r="L601" s="3">
        <v>7223</v>
      </c>
      <c r="M601" s="3">
        <v>7223</v>
      </c>
      <c r="N601" t="s">
        <v>4</v>
      </c>
      <c r="O601" s="6">
        <v>3454</v>
      </c>
      <c r="P601" s="12">
        <f t="shared" si="18"/>
        <v>4077</v>
      </c>
      <c r="Q601" t="str">
        <f t="shared" si="19"/>
        <v>⑤만기경과 후 12개월 초과</v>
      </c>
    </row>
    <row r="602" spans="1:17" ht="13.95" customHeight="1" outlineLevel="3" x14ac:dyDescent="0.25">
      <c r="A602" t="s">
        <v>7</v>
      </c>
      <c r="B602" s="2">
        <v>36831</v>
      </c>
      <c r="C602" s="2">
        <v>36831</v>
      </c>
      <c r="D602" s="2">
        <v>36831</v>
      </c>
      <c r="E602" s="2"/>
      <c r="F602" t="s">
        <v>2</v>
      </c>
      <c r="G602" s="3">
        <v>0</v>
      </c>
      <c r="H602" s="4">
        <v>3932.25</v>
      </c>
      <c r="I602" t="s">
        <v>3</v>
      </c>
      <c r="J602" s="6">
        <v>1600000284</v>
      </c>
      <c r="K602" t="s">
        <v>0</v>
      </c>
      <c r="L602" s="3">
        <v>7223</v>
      </c>
      <c r="M602" s="3">
        <v>7223</v>
      </c>
      <c r="N602" t="s">
        <v>4</v>
      </c>
      <c r="O602" s="6">
        <v>3454</v>
      </c>
      <c r="P602" s="12">
        <f t="shared" si="18"/>
        <v>4077</v>
      </c>
      <c r="Q602" t="str">
        <f t="shared" si="19"/>
        <v>⑤만기경과 후 12개월 초과</v>
      </c>
    </row>
    <row r="603" spans="1:17" ht="13.95" customHeight="1" outlineLevel="3" x14ac:dyDescent="0.25">
      <c r="A603" t="s">
        <v>7</v>
      </c>
      <c r="B603" s="2">
        <v>36800</v>
      </c>
      <c r="C603" s="2">
        <v>36800</v>
      </c>
      <c r="D603" s="2">
        <v>36800</v>
      </c>
      <c r="E603" s="2"/>
      <c r="F603" t="s">
        <v>2</v>
      </c>
      <c r="G603" s="3">
        <v>0</v>
      </c>
      <c r="H603" s="4">
        <v>3932.25</v>
      </c>
      <c r="I603" t="s">
        <v>3</v>
      </c>
      <c r="J603" s="6">
        <v>1600000183</v>
      </c>
      <c r="K603" t="s">
        <v>0</v>
      </c>
      <c r="L603" s="3">
        <v>7254</v>
      </c>
      <c r="M603" s="3">
        <v>7254</v>
      </c>
      <c r="N603" t="s">
        <v>4</v>
      </c>
      <c r="O603" s="6">
        <v>3454</v>
      </c>
      <c r="P603" s="12">
        <f t="shared" si="18"/>
        <v>4108</v>
      </c>
      <c r="Q603" t="str">
        <f t="shared" si="19"/>
        <v>⑤만기경과 후 12개월 초과</v>
      </c>
    </row>
    <row r="604" spans="1:17" ht="13.95" customHeight="1" outlineLevel="3" x14ac:dyDescent="0.25">
      <c r="A604" t="s">
        <v>7</v>
      </c>
      <c r="B604" s="2">
        <v>36739</v>
      </c>
      <c r="C604" s="2">
        <v>36739</v>
      </c>
      <c r="D604" s="2">
        <v>36739</v>
      </c>
      <c r="E604" s="2"/>
      <c r="F604" t="s">
        <v>2</v>
      </c>
      <c r="G604" s="3">
        <v>0</v>
      </c>
      <c r="H604" s="4">
        <v>3932.25</v>
      </c>
      <c r="I604" t="s">
        <v>3</v>
      </c>
      <c r="J604" s="6">
        <v>1600000181</v>
      </c>
      <c r="K604" t="s">
        <v>0</v>
      </c>
      <c r="L604" s="3">
        <v>7315</v>
      </c>
      <c r="M604" s="3">
        <v>7315</v>
      </c>
      <c r="N604" t="s">
        <v>4</v>
      </c>
      <c r="O604" s="6">
        <v>3454</v>
      </c>
      <c r="P604" s="12">
        <f t="shared" si="18"/>
        <v>4169</v>
      </c>
      <c r="Q604" t="str">
        <f t="shared" si="19"/>
        <v>⑤만기경과 후 12개월 초과</v>
      </c>
    </row>
    <row r="605" spans="1:17" ht="13.95" customHeight="1" outlineLevel="3" x14ac:dyDescent="0.25">
      <c r="A605" t="s">
        <v>7</v>
      </c>
      <c r="B605" s="2">
        <v>36770</v>
      </c>
      <c r="C605" s="2">
        <v>36770</v>
      </c>
      <c r="D605" s="2">
        <v>36770</v>
      </c>
      <c r="E605" s="2"/>
      <c r="F605" t="s">
        <v>2</v>
      </c>
      <c r="G605" s="3">
        <v>0</v>
      </c>
      <c r="H605" s="4">
        <v>3932.25</v>
      </c>
      <c r="I605" t="s">
        <v>3</v>
      </c>
      <c r="J605" s="6">
        <v>1600000182</v>
      </c>
      <c r="K605" t="s">
        <v>0</v>
      </c>
      <c r="L605" s="3">
        <v>7284</v>
      </c>
      <c r="M605" s="3">
        <v>7284</v>
      </c>
      <c r="N605" t="s">
        <v>4</v>
      </c>
      <c r="O605" s="6">
        <v>3454</v>
      </c>
      <c r="P605" s="12">
        <f t="shared" si="18"/>
        <v>4138</v>
      </c>
      <c r="Q605" t="str">
        <f t="shared" si="19"/>
        <v>⑤만기경과 후 12개월 초과</v>
      </c>
    </row>
    <row r="606" spans="1:17" ht="13.95" customHeight="1" outlineLevel="3" x14ac:dyDescent="0.25">
      <c r="A606" t="s">
        <v>7</v>
      </c>
      <c r="B606" s="2">
        <v>36831</v>
      </c>
      <c r="C606" s="2">
        <v>36831</v>
      </c>
      <c r="D606" s="2">
        <v>36831</v>
      </c>
      <c r="E606" s="2"/>
      <c r="F606" t="s">
        <v>2</v>
      </c>
      <c r="G606" s="3">
        <v>0</v>
      </c>
      <c r="H606" s="4">
        <v>448.91</v>
      </c>
      <c r="I606" t="s">
        <v>3</v>
      </c>
      <c r="J606" s="6">
        <v>1600000323</v>
      </c>
      <c r="K606" t="s">
        <v>0</v>
      </c>
      <c r="L606" s="3">
        <v>7223</v>
      </c>
      <c r="M606" s="3">
        <v>7223</v>
      </c>
      <c r="N606" t="s">
        <v>4</v>
      </c>
      <c r="O606" s="6">
        <v>3460</v>
      </c>
      <c r="P606" s="12">
        <f t="shared" si="18"/>
        <v>4077</v>
      </c>
      <c r="Q606" t="str">
        <f t="shared" si="19"/>
        <v>⑤만기경과 후 12개월 초과</v>
      </c>
    </row>
    <row r="607" spans="1:17" ht="13.95" customHeight="1" outlineLevel="3" x14ac:dyDescent="0.25">
      <c r="A607" t="s">
        <v>7</v>
      </c>
      <c r="B607" s="2">
        <v>36812</v>
      </c>
      <c r="C607" s="2">
        <v>36812</v>
      </c>
      <c r="D607" s="2">
        <v>36812</v>
      </c>
      <c r="E607" s="2"/>
      <c r="F607" t="s">
        <v>2</v>
      </c>
      <c r="G607" s="3">
        <v>0</v>
      </c>
      <c r="H607" s="4">
        <v>584.58000000000004</v>
      </c>
      <c r="I607" t="s">
        <v>3</v>
      </c>
      <c r="J607" s="6">
        <v>1600000347</v>
      </c>
      <c r="K607" t="s">
        <v>0</v>
      </c>
      <c r="L607" s="3">
        <v>7242</v>
      </c>
      <c r="M607" s="3">
        <v>7242</v>
      </c>
      <c r="N607" t="s">
        <v>4</v>
      </c>
      <c r="O607" s="6">
        <v>3460</v>
      </c>
      <c r="P607" s="12">
        <f t="shared" si="18"/>
        <v>4096</v>
      </c>
      <c r="Q607" t="str">
        <f t="shared" si="19"/>
        <v>⑤만기경과 후 12개월 초과</v>
      </c>
    </row>
    <row r="608" spans="1:17" ht="13.95" customHeight="1" outlineLevel="3" x14ac:dyDescent="0.25">
      <c r="A608" t="s">
        <v>7</v>
      </c>
      <c r="B608" s="2">
        <v>36892</v>
      </c>
      <c r="C608" s="2">
        <v>36892</v>
      </c>
      <c r="D608" s="2">
        <v>36892</v>
      </c>
      <c r="E608" s="2"/>
      <c r="F608" t="s">
        <v>2</v>
      </c>
      <c r="G608" s="3">
        <v>0</v>
      </c>
      <c r="H608" s="4">
        <v>521.52</v>
      </c>
      <c r="I608" t="s">
        <v>3</v>
      </c>
      <c r="J608" s="6">
        <v>1600000015</v>
      </c>
      <c r="K608" t="s">
        <v>0</v>
      </c>
      <c r="L608" s="3">
        <v>7162</v>
      </c>
      <c r="M608" s="3">
        <v>7162</v>
      </c>
      <c r="N608" t="s">
        <v>4</v>
      </c>
      <c r="O608" s="6">
        <v>3460</v>
      </c>
      <c r="P608" s="12">
        <f t="shared" si="18"/>
        <v>4016</v>
      </c>
      <c r="Q608" t="str">
        <f t="shared" si="19"/>
        <v>⑤만기경과 후 12개월 초과</v>
      </c>
    </row>
    <row r="609" spans="1:17" ht="13.95" customHeight="1" outlineLevel="3" x14ac:dyDescent="0.25">
      <c r="A609" t="s">
        <v>7</v>
      </c>
      <c r="B609" s="2">
        <v>36892</v>
      </c>
      <c r="C609" s="2">
        <v>36892</v>
      </c>
      <c r="D609" s="2">
        <v>36892</v>
      </c>
      <c r="E609" s="2"/>
      <c r="F609" t="s">
        <v>2</v>
      </c>
      <c r="G609" s="3">
        <v>0</v>
      </c>
      <c r="H609" s="4">
        <v>25</v>
      </c>
      <c r="I609" t="s">
        <v>3</v>
      </c>
      <c r="J609" s="6">
        <v>1600000015</v>
      </c>
      <c r="K609" t="s">
        <v>0</v>
      </c>
      <c r="L609" s="3">
        <v>7162</v>
      </c>
      <c r="M609" s="3">
        <v>7162</v>
      </c>
      <c r="N609" t="s">
        <v>4</v>
      </c>
      <c r="O609" s="6">
        <v>3460</v>
      </c>
      <c r="P609" s="12">
        <f t="shared" si="18"/>
        <v>4016</v>
      </c>
      <c r="Q609" t="str">
        <f t="shared" si="19"/>
        <v>⑤만기경과 후 12개월 초과</v>
      </c>
    </row>
    <row r="610" spans="1:17" ht="13.95" customHeight="1" outlineLevel="3" x14ac:dyDescent="0.25">
      <c r="A610" t="s">
        <v>7</v>
      </c>
      <c r="B610" s="2">
        <v>36892</v>
      </c>
      <c r="C610" s="2">
        <v>36892</v>
      </c>
      <c r="D610" s="2">
        <v>36892</v>
      </c>
      <c r="E610" s="2"/>
      <c r="F610" t="s">
        <v>2</v>
      </c>
      <c r="G610" s="3">
        <v>0</v>
      </c>
      <c r="H610" s="4">
        <v>5515.8</v>
      </c>
      <c r="I610" t="s">
        <v>3</v>
      </c>
      <c r="J610" s="6">
        <v>1600000014</v>
      </c>
      <c r="K610" t="s">
        <v>0</v>
      </c>
      <c r="L610" s="3">
        <v>7162</v>
      </c>
      <c r="M610" s="3">
        <v>7162</v>
      </c>
      <c r="N610" t="s">
        <v>4</v>
      </c>
      <c r="O610" s="6">
        <v>3463</v>
      </c>
      <c r="P610" s="12">
        <f t="shared" si="18"/>
        <v>4016</v>
      </c>
      <c r="Q610" t="str">
        <f t="shared" si="19"/>
        <v>⑤만기경과 후 12개월 초과</v>
      </c>
    </row>
    <row r="611" spans="1:17" ht="13.95" customHeight="1" outlineLevel="3" x14ac:dyDescent="0.25">
      <c r="A611" t="s">
        <v>7</v>
      </c>
      <c r="B611" s="2">
        <v>36812</v>
      </c>
      <c r="C611" s="2">
        <v>36812</v>
      </c>
      <c r="D611" s="2">
        <v>36812</v>
      </c>
      <c r="E611" s="2"/>
      <c r="F611" t="s">
        <v>2</v>
      </c>
      <c r="G611" s="3">
        <v>0</v>
      </c>
      <c r="H611" s="4">
        <v>1926.71</v>
      </c>
      <c r="I611" t="s">
        <v>3</v>
      </c>
      <c r="J611" s="6">
        <v>1600000344</v>
      </c>
      <c r="K611" t="s">
        <v>0</v>
      </c>
      <c r="L611" s="3">
        <v>7242</v>
      </c>
      <c r="M611" s="3">
        <v>7242</v>
      </c>
      <c r="N611" t="s">
        <v>4</v>
      </c>
      <c r="O611" s="6">
        <v>3463</v>
      </c>
      <c r="P611" s="12">
        <f t="shared" si="18"/>
        <v>4096</v>
      </c>
      <c r="Q611" t="str">
        <f t="shared" si="19"/>
        <v>⑤만기경과 후 12개월 초과</v>
      </c>
    </row>
    <row r="612" spans="1:17" ht="13.95" customHeight="1" outlineLevel="3" x14ac:dyDescent="0.25">
      <c r="A612" t="s">
        <v>7</v>
      </c>
      <c r="B612" s="2">
        <v>36831</v>
      </c>
      <c r="C612" s="2">
        <v>36831</v>
      </c>
      <c r="D612" s="2">
        <v>36831</v>
      </c>
      <c r="E612" s="2"/>
      <c r="F612" t="s">
        <v>2</v>
      </c>
      <c r="G612" s="3">
        <v>0</v>
      </c>
      <c r="H612" s="4">
        <v>1708.23</v>
      </c>
      <c r="I612" t="s">
        <v>3</v>
      </c>
      <c r="J612" s="6">
        <v>1600000320</v>
      </c>
      <c r="K612" t="s">
        <v>0</v>
      </c>
      <c r="L612" s="3">
        <v>7223</v>
      </c>
      <c r="M612" s="3">
        <v>7223</v>
      </c>
      <c r="N612" t="s">
        <v>4</v>
      </c>
      <c r="O612" s="6">
        <v>3463</v>
      </c>
      <c r="P612" s="12">
        <f t="shared" si="18"/>
        <v>4077</v>
      </c>
      <c r="Q612" t="str">
        <f t="shared" si="19"/>
        <v>⑤만기경과 후 12개월 초과</v>
      </c>
    </row>
    <row r="613" spans="1:17" ht="13.95" customHeight="1" outlineLevel="3" x14ac:dyDescent="0.25">
      <c r="A613" t="s">
        <v>7</v>
      </c>
      <c r="B613" s="2">
        <v>36892</v>
      </c>
      <c r="C613" s="2">
        <v>36892</v>
      </c>
      <c r="D613" s="2">
        <v>36892</v>
      </c>
      <c r="E613" s="2"/>
      <c r="F613" t="s">
        <v>2</v>
      </c>
      <c r="G613" s="3">
        <v>0</v>
      </c>
      <c r="H613" s="4">
        <v>455.05</v>
      </c>
      <c r="I613" t="s">
        <v>3</v>
      </c>
      <c r="J613" s="6">
        <v>1600000000</v>
      </c>
      <c r="K613" t="s">
        <v>0</v>
      </c>
      <c r="L613" s="3">
        <v>7162</v>
      </c>
      <c r="M613" s="3">
        <v>7162</v>
      </c>
      <c r="N613" t="s">
        <v>4</v>
      </c>
      <c r="O613" s="6">
        <v>3464</v>
      </c>
      <c r="P613" s="12">
        <f t="shared" si="18"/>
        <v>4016</v>
      </c>
      <c r="Q613" t="str">
        <f t="shared" si="19"/>
        <v>⑤만기경과 후 12개월 초과</v>
      </c>
    </row>
    <row r="614" spans="1:17" ht="13.95" customHeight="1" outlineLevel="3" x14ac:dyDescent="0.25">
      <c r="A614" t="s">
        <v>7</v>
      </c>
      <c r="B614" s="2">
        <v>36892</v>
      </c>
      <c r="C614" s="2">
        <v>36892</v>
      </c>
      <c r="D614" s="2">
        <v>36892</v>
      </c>
      <c r="E614" s="2"/>
      <c r="F614" t="s">
        <v>2</v>
      </c>
      <c r="G614" s="3">
        <v>0</v>
      </c>
      <c r="H614" s="4">
        <v>403.92</v>
      </c>
      <c r="I614" t="s">
        <v>3</v>
      </c>
      <c r="J614" s="6">
        <v>1600000001</v>
      </c>
      <c r="K614" t="s">
        <v>0</v>
      </c>
      <c r="L614" s="3">
        <v>7162</v>
      </c>
      <c r="M614" s="3">
        <v>7162</v>
      </c>
      <c r="N614" t="s">
        <v>4</v>
      </c>
      <c r="O614" s="6">
        <v>3465</v>
      </c>
      <c r="P614" s="12">
        <f t="shared" si="18"/>
        <v>4016</v>
      </c>
      <c r="Q614" t="str">
        <f t="shared" si="19"/>
        <v>⑤만기경과 후 12개월 초과</v>
      </c>
    </row>
    <row r="615" spans="1:17" ht="13.95" customHeight="1" outlineLevel="3" x14ac:dyDescent="0.25">
      <c r="A615" t="s">
        <v>7</v>
      </c>
      <c r="B615" s="2">
        <v>36892</v>
      </c>
      <c r="C615" s="2">
        <v>36892</v>
      </c>
      <c r="D615" s="2">
        <v>36892</v>
      </c>
      <c r="E615" s="2"/>
      <c r="F615" t="s">
        <v>2</v>
      </c>
      <c r="G615" s="3">
        <v>0</v>
      </c>
      <c r="H615" s="4">
        <v>347.68</v>
      </c>
      <c r="I615" t="s">
        <v>3</v>
      </c>
      <c r="J615" s="6">
        <v>1600000002</v>
      </c>
      <c r="K615" t="s">
        <v>0</v>
      </c>
      <c r="L615" s="3">
        <v>7162</v>
      </c>
      <c r="M615" s="3">
        <v>7162</v>
      </c>
      <c r="N615" t="s">
        <v>4</v>
      </c>
      <c r="O615" s="6">
        <v>3466</v>
      </c>
      <c r="P615" s="12">
        <f t="shared" si="18"/>
        <v>4016</v>
      </c>
      <c r="Q615" t="str">
        <f t="shared" si="19"/>
        <v>⑤만기경과 후 12개월 초과</v>
      </c>
    </row>
    <row r="616" spans="1:17" ht="13.95" customHeight="1" outlineLevel="3" x14ac:dyDescent="0.25">
      <c r="A616" t="s">
        <v>7</v>
      </c>
      <c r="B616" s="2">
        <v>36892</v>
      </c>
      <c r="C616" s="2">
        <v>36892</v>
      </c>
      <c r="D616" s="2">
        <v>36892</v>
      </c>
      <c r="E616" s="2"/>
      <c r="F616" t="s">
        <v>2</v>
      </c>
      <c r="G616" s="3">
        <v>0</v>
      </c>
      <c r="H616" s="4">
        <v>557.30999999999995</v>
      </c>
      <c r="I616" t="s">
        <v>3</v>
      </c>
      <c r="J616" s="6">
        <v>1600000003</v>
      </c>
      <c r="K616" t="s">
        <v>0</v>
      </c>
      <c r="L616" s="3">
        <v>7162</v>
      </c>
      <c r="M616" s="3">
        <v>7162</v>
      </c>
      <c r="N616" t="s">
        <v>4</v>
      </c>
      <c r="O616" s="6">
        <v>3467</v>
      </c>
      <c r="P616" s="12">
        <f t="shared" si="18"/>
        <v>4016</v>
      </c>
      <c r="Q616" t="str">
        <f t="shared" si="19"/>
        <v>⑤만기경과 후 12개월 초과</v>
      </c>
    </row>
    <row r="617" spans="1:17" ht="13.95" customHeight="1" outlineLevel="3" x14ac:dyDescent="0.25">
      <c r="A617" t="s">
        <v>7</v>
      </c>
      <c r="B617" s="2">
        <v>36892</v>
      </c>
      <c r="C617" s="2">
        <v>36892</v>
      </c>
      <c r="D617" s="2">
        <v>36892</v>
      </c>
      <c r="E617" s="2"/>
      <c r="F617" t="s">
        <v>2</v>
      </c>
      <c r="G617" s="3">
        <v>0</v>
      </c>
      <c r="H617" s="4">
        <v>567.53</v>
      </c>
      <c r="I617" t="s">
        <v>3</v>
      </c>
      <c r="J617" s="6">
        <v>1600000004</v>
      </c>
      <c r="K617" t="s">
        <v>0</v>
      </c>
      <c r="L617" s="3">
        <v>7162</v>
      </c>
      <c r="M617" s="3">
        <v>7162</v>
      </c>
      <c r="N617" t="s">
        <v>4</v>
      </c>
      <c r="O617" s="6">
        <v>3468</v>
      </c>
      <c r="P617" s="12">
        <f t="shared" si="18"/>
        <v>4016</v>
      </c>
      <c r="Q617" t="str">
        <f t="shared" si="19"/>
        <v>⑤만기경과 후 12개월 초과</v>
      </c>
    </row>
    <row r="618" spans="1:17" ht="13.95" customHeight="1" outlineLevel="3" x14ac:dyDescent="0.25">
      <c r="A618" t="s">
        <v>7</v>
      </c>
      <c r="B618" s="2">
        <v>36892</v>
      </c>
      <c r="C618" s="2">
        <v>36892</v>
      </c>
      <c r="D618" s="2">
        <v>36892</v>
      </c>
      <c r="E618" s="2"/>
      <c r="F618" t="s">
        <v>2</v>
      </c>
      <c r="G618" s="3">
        <v>0</v>
      </c>
      <c r="H618" s="4">
        <v>347.68</v>
      </c>
      <c r="I618" t="s">
        <v>3</v>
      </c>
      <c r="J618" s="6">
        <v>1600000005</v>
      </c>
      <c r="K618" t="s">
        <v>0</v>
      </c>
      <c r="L618" s="3">
        <v>7162</v>
      </c>
      <c r="M618" s="3">
        <v>7162</v>
      </c>
      <c r="N618" t="s">
        <v>4</v>
      </c>
      <c r="O618" s="6">
        <v>3469</v>
      </c>
      <c r="P618" s="12">
        <f t="shared" si="18"/>
        <v>4016</v>
      </c>
      <c r="Q618" t="str">
        <f t="shared" si="19"/>
        <v>⑤만기경과 후 12개월 초과</v>
      </c>
    </row>
    <row r="619" spans="1:17" ht="13.95" customHeight="1" outlineLevel="3" x14ac:dyDescent="0.25">
      <c r="A619" t="s">
        <v>7</v>
      </c>
      <c r="B619" s="2">
        <v>36892</v>
      </c>
      <c r="C619" s="2">
        <v>36892</v>
      </c>
      <c r="D619" s="2">
        <v>36892</v>
      </c>
      <c r="E619" s="2"/>
      <c r="F619" t="s">
        <v>2</v>
      </c>
      <c r="G619" s="3">
        <v>0</v>
      </c>
      <c r="H619" s="4">
        <v>449.94</v>
      </c>
      <c r="I619" t="s">
        <v>3</v>
      </c>
      <c r="J619" s="6">
        <v>1600000006</v>
      </c>
      <c r="K619" t="s">
        <v>0</v>
      </c>
      <c r="L619" s="3">
        <v>7162</v>
      </c>
      <c r="M619" s="3">
        <v>7162</v>
      </c>
      <c r="N619" t="s">
        <v>4</v>
      </c>
      <c r="O619" s="6">
        <v>3470</v>
      </c>
      <c r="P619" s="12">
        <f t="shared" si="18"/>
        <v>4016</v>
      </c>
      <c r="Q619" t="str">
        <f t="shared" si="19"/>
        <v>⑤만기경과 후 12개월 초과</v>
      </c>
    </row>
    <row r="620" spans="1:17" ht="13.95" customHeight="1" outlineLevel="3" x14ac:dyDescent="0.25">
      <c r="A620" t="s">
        <v>7</v>
      </c>
      <c r="B620" s="2">
        <v>36892</v>
      </c>
      <c r="C620" s="2">
        <v>36892</v>
      </c>
      <c r="D620" s="2">
        <v>36892</v>
      </c>
      <c r="E620" s="2"/>
      <c r="F620" t="s">
        <v>2</v>
      </c>
      <c r="G620" s="3">
        <v>0</v>
      </c>
      <c r="H620" s="4">
        <v>455.05</v>
      </c>
      <c r="I620" t="s">
        <v>3</v>
      </c>
      <c r="J620" s="6">
        <v>1600000007</v>
      </c>
      <c r="K620" t="s">
        <v>0</v>
      </c>
      <c r="L620" s="3">
        <v>7162</v>
      </c>
      <c r="M620" s="3">
        <v>7162</v>
      </c>
      <c r="N620" t="s">
        <v>4</v>
      </c>
      <c r="O620" s="6">
        <v>3471</v>
      </c>
      <c r="P620" s="12">
        <f t="shared" si="18"/>
        <v>4016</v>
      </c>
      <c r="Q620" t="str">
        <f t="shared" si="19"/>
        <v>⑤만기경과 후 12개월 초과</v>
      </c>
    </row>
    <row r="621" spans="1:17" ht="13.95" customHeight="1" outlineLevel="3" x14ac:dyDescent="0.25">
      <c r="A621" t="s">
        <v>7</v>
      </c>
      <c r="B621" s="2">
        <v>36892</v>
      </c>
      <c r="C621" s="2">
        <v>36892</v>
      </c>
      <c r="D621" s="2">
        <v>36892</v>
      </c>
      <c r="E621" s="2"/>
      <c r="F621" t="s">
        <v>2</v>
      </c>
      <c r="G621" s="3">
        <v>0</v>
      </c>
      <c r="H621" s="4">
        <v>587.99</v>
      </c>
      <c r="I621" t="s">
        <v>3</v>
      </c>
      <c r="J621" s="6">
        <v>1600000009</v>
      </c>
      <c r="K621" t="s">
        <v>0</v>
      </c>
      <c r="L621" s="3">
        <v>7162</v>
      </c>
      <c r="M621" s="3">
        <v>7162</v>
      </c>
      <c r="N621" t="s">
        <v>4</v>
      </c>
      <c r="O621" s="6">
        <v>3473</v>
      </c>
      <c r="P621" s="12">
        <f t="shared" si="18"/>
        <v>4016</v>
      </c>
      <c r="Q621" t="str">
        <f t="shared" si="19"/>
        <v>⑤만기경과 후 12개월 초과</v>
      </c>
    </row>
    <row r="622" spans="1:17" ht="13.95" customHeight="1" outlineLevel="3" x14ac:dyDescent="0.25">
      <c r="A622" t="s">
        <v>7</v>
      </c>
      <c r="B622" s="2">
        <v>36892</v>
      </c>
      <c r="C622" s="2">
        <v>36892</v>
      </c>
      <c r="D622" s="2">
        <v>36892</v>
      </c>
      <c r="E622" s="2"/>
      <c r="F622" t="s">
        <v>2</v>
      </c>
      <c r="G622" s="3">
        <v>0</v>
      </c>
      <c r="H622" s="4">
        <v>1779.3</v>
      </c>
      <c r="I622" t="s">
        <v>3</v>
      </c>
      <c r="J622" s="6">
        <v>1600000013</v>
      </c>
      <c r="K622" t="s">
        <v>0</v>
      </c>
      <c r="L622" s="3">
        <v>7162</v>
      </c>
      <c r="M622" s="3">
        <v>7162</v>
      </c>
      <c r="N622" t="s">
        <v>4</v>
      </c>
      <c r="O622" s="6">
        <v>3474</v>
      </c>
      <c r="P622" s="12">
        <f t="shared" si="18"/>
        <v>4016</v>
      </c>
      <c r="Q622" t="str">
        <f t="shared" si="19"/>
        <v>⑤만기경과 후 12개월 초과</v>
      </c>
    </row>
    <row r="623" spans="1:17" ht="13.95" customHeight="1" outlineLevel="3" x14ac:dyDescent="0.25">
      <c r="A623" t="s">
        <v>7</v>
      </c>
      <c r="B623" s="2">
        <v>36800</v>
      </c>
      <c r="C623" s="2">
        <v>36822</v>
      </c>
      <c r="D623" s="2">
        <v>36800</v>
      </c>
      <c r="E623" s="2"/>
      <c r="F623" t="s">
        <v>2</v>
      </c>
      <c r="G623" s="3">
        <v>0</v>
      </c>
      <c r="H623" s="4">
        <v>3201.6</v>
      </c>
      <c r="I623" t="s">
        <v>3</v>
      </c>
      <c r="J623" s="6">
        <v>1600000209</v>
      </c>
      <c r="K623" t="s">
        <v>0</v>
      </c>
      <c r="L623" s="3">
        <v>7254</v>
      </c>
      <c r="M623" s="3">
        <v>7254</v>
      </c>
      <c r="N623" t="s">
        <v>4</v>
      </c>
      <c r="O623" s="6">
        <v>3477</v>
      </c>
      <c r="P623" s="12">
        <f t="shared" si="18"/>
        <v>4108</v>
      </c>
      <c r="Q623" t="str">
        <f t="shared" si="19"/>
        <v>⑤만기경과 후 12개월 초과</v>
      </c>
    </row>
    <row r="624" spans="1:17" ht="13.95" customHeight="1" outlineLevel="3" x14ac:dyDescent="0.25">
      <c r="A624" t="s">
        <v>7</v>
      </c>
      <c r="B624" s="2">
        <v>36831</v>
      </c>
      <c r="C624" s="2">
        <v>36822</v>
      </c>
      <c r="D624" s="2">
        <v>36831</v>
      </c>
      <c r="E624" s="2"/>
      <c r="F624" t="s">
        <v>2</v>
      </c>
      <c r="G624" s="3">
        <v>0</v>
      </c>
      <c r="H624" s="4">
        <v>3201.6</v>
      </c>
      <c r="I624" t="s">
        <v>3</v>
      </c>
      <c r="J624" s="6">
        <v>1600000210</v>
      </c>
      <c r="K624" t="s">
        <v>0</v>
      </c>
      <c r="L624" s="3">
        <v>7223</v>
      </c>
      <c r="M624" s="3">
        <v>7223</v>
      </c>
      <c r="N624" t="s">
        <v>4</v>
      </c>
      <c r="O624" s="6">
        <v>3477</v>
      </c>
      <c r="P624" s="12">
        <f t="shared" si="18"/>
        <v>4077</v>
      </c>
      <c r="Q624" t="str">
        <f t="shared" si="19"/>
        <v>⑤만기경과 후 12개월 초과</v>
      </c>
    </row>
    <row r="625" spans="1:17" ht="13.95" customHeight="1" outlineLevel="3" x14ac:dyDescent="0.25">
      <c r="A625" t="s">
        <v>7</v>
      </c>
      <c r="B625" s="2">
        <v>36861</v>
      </c>
      <c r="C625" s="2">
        <v>36861</v>
      </c>
      <c r="D625" s="2">
        <v>36861</v>
      </c>
      <c r="E625" s="2"/>
      <c r="F625" t="s">
        <v>2</v>
      </c>
      <c r="G625" s="3">
        <v>0</v>
      </c>
      <c r="H625" s="4">
        <v>3201.6</v>
      </c>
      <c r="I625" t="s">
        <v>3</v>
      </c>
      <c r="J625" s="6">
        <v>1600000308</v>
      </c>
      <c r="K625" t="s">
        <v>0</v>
      </c>
      <c r="L625" s="3">
        <v>7193</v>
      </c>
      <c r="M625" s="3">
        <v>7193</v>
      </c>
      <c r="N625" t="s">
        <v>4</v>
      </c>
      <c r="O625" s="6">
        <v>3477</v>
      </c>
      <c r="P625" s="12">
        <f t="shared" si="18"/>
        <v>4047</v>
      </c>
      <c r="Q625" t="str">
        <f t="shared" si="19"/>
        <v>⑤만기경과 후 12개월 초과</v>
      </c>
    </row>
    <row r="626" spans="1:17" ht="13.95" customHeight="1" outlineLevel="3" x14ac:dyDescent="0.25">
      <c r="A626" t="s">
        <v>7</v>
      </c>
      <c r="B626" s="2">
        <v>36831</v>
      </c>
      <c r="C626" s="2">
        <v>36831</v>
      </c>
      <c r="D626" s="2">
        <v>36831</v>
      </c>
      <c r="E626" s="2"/>
      <c r="F626" t="s">
        <v>2</v>
      </c>
      <c r="G626" s="3">
        <v>0</v>
      </c>
      <c r="H626" s="4">
        <v>943.33</v>
      </c>
      <c r="I626" t="s">
        <v>3</v>
      </c>
      <c r="J626" s="6">
        <v>1600000321</v>
      </c>
      <c r="K626" t="s">
        <v>0</v>
      </c>
      <c r="L626" s="3">
        <v>7223</v>
      </c>
      <c r="M626" s="3">
        <v>7223</v>
      </c>
      <c r="N626" t="s">
        <v>4</v>
      </c>
      <c r="O626" s="6">
        <v>3477</v>
      </c>
      <c r="P626" s="12">
        <f t="shared" si="18"/>
        <v>4077</v>
      </c>
      <c r="Q626" t="str">
        <f t="shared" si="19"/>
        <v>⑤만기경과 후 12개월 초과</v>
      </c>
    </row>
    <row r="627" spans="1:17" ht="13.95" customHeight="1" outlineLevel="3" x14ac:dyDescent="0.25">
      <c r="A627" t="s">
        <v>7</v>
      </c>
      <c r="B627" s="2">
        <v>36831</v>
      </c>
      <c r="C627" s="2">
        <v>36831</v>
      </c>
      <c r="D627" s="2">
        <v>36831</v>
      </c>
      <c r="E627" s="2"/>
      <c r="F627" t="s">
        <v>2</v>
      </c>
      <c r="G627" s="3">
        <v>0</v>
      </c>
      <c r="H627" s="4">
        <v>-917.28</v>
      </c>
      <c r="I627" t="s">
        <v>3</v>
      </c>
      <c r="J627" s="6">
        <v>1600000330</v>
      </c>
      <c r="K627" t="s">
        <v>0</v>
      </c>
      <c r="L627" s="3">
        <v>7223</v>
      </c>
      <c r="M627" s="3">
        <v>7223</v>
      </c>
      <c r="N627" t="s">
        <v>4</v>
      </c>
      <c r="O627" s="6">
        <v>3477</v>
      </c>
      <c r="P627" s="12">
        <f t="shared" si="18"/>
        <v>4077</v>
      </c>
      <c r="Q627" t="str">
        <f t="shared" si="19"/>
        <v>⑤만기경과 후 12개월 초과</v>
      </c>
    </row>
    <row r="628" spans="1:17" ht="13.95" customHeight="1" outlineLevel="3" x14ac:dyDescent="0.25">
      <c r="A628" t="s">
        <v>7</v>
      </c>
      <c r="B628" s="2">
        <v>36812</v>
      </c>
      <c r="C628" s="2">
        <v>36812</v>
      </c>
      <c r="D628" s="2">
        <v>36812</v>
      </c>
      <c r="E628" s="2"/>
      <c r="F628" t="s">
        <v>2</v>
      </c>
      <c r="G628" s="3">
        <v>0</v>
      </c>
      <c r="H628" s="4">
        <v>-1913.94</v>
      </c>
      <c r="I628" t="s">
        <v>3</v>
      </c>
      <c r="J628" s="6">
        <v>1600000336</v>
      </c>
      <c r="K628" t="s">
        <v>0</v>
      </c>
      <c r="L628" s="3">
        <v>7242</v>
      </c>
      <c r="M628" s="3">
        <v>7242</v>
      </c>
      <c r="N628" t="s">
        <v>4</v>
      </c>
      <c r="O628" s="6">
        <v>3477</v>
      </c>
      <c r="P628" s="12">
        <f t="shared" si="18"/>
        <v>4096</v>
      </c>
      <c r="Q628" t="str">
        <f t="shared" si="19"/>
        <v>⑤만기경과 후 12개월 초과</v>
      </c>
    </row>
    <row r="629" spans="1:17" ht="13.95" customHeight="1" outlineLevel="3" x14ac:dyDescent="0.25">
      <c r="A629" t="s">
        <v>7</v>
      </c>
      <c r="B629" s="2">
        <v>36812</v>
      </c>
      <c r="C629" s="2">
        <v>36812</v>
      </c>
      <c r="D629" s="2">
        <v>36812</v>
      </c>
      <c r="E629" s="2"/>
      <c r="F629" t="s">
        <v>2</v>
      </c>
      <c r="G629" s="3">
        <v>0</v>
      </c>
      <c r="H629" s="4">
        <v>1935.17</v>
      </c>
      <c r="I629" t="s">
        <v>3</v>
      </c>
      <c r="J629" s="6">
        <v>1600000345</v>
      </c>
      <c r="K629" t="s">
        <v>0</v>
      </c>
      <c r="L629" s="3">
        <v>7242</v>
      </c>
      <c r="M629" s="3">
        <v>7242</v>
      </c>
      <c r="N629" t="s">
        <v>4</v>
      </c>
      <c r="O629" s="6">
        <v>3477</v>
      </c>
      <c r="P629" s="12">
        <f t="shared" si="18"/>
        <v>4096</v>
      </c>
      <c r="Q629" t="str">
        <f t="shared" si="19"/>
        <v>⑤만기경과 후 12개월 초과</v>
      </c>
    </row>
    <row r="630" spans="1:17" ht="13.95" customHeight="1" outlineLevel="3" x14ac:dyDescent="0.25">
      <c r="A630" t="s">
        <v>7</v>
      </c>
      <c r="B630" s="2">
        <v>36892</v>
      </c>
      <c r="C630" s="2">
        <v>36892</v>
      </c>
      <c r="D630" s="2">
        <v>36892</v>
      </c>
      <c r="E630" s="2"/>
      <c r="F630" t="s">
        <v>2</v>
      </c>
      <c r="G630" s="3">
        <v>0</v>
      </c>
      <c r="H630" s="4">
        <v>3201.6</v>
      </c>
      <c r="I630" t="s">
        <v>3</v>
      </c>
      <c r="J630" s="6">
        <v>1600000010</v>
      </c>
      <c r="K630" t="s">
        <v>0</v>
      </c>
      <c r="L630" s="3">
        <v>7162</v>
      </c>
      <c r="M630" s="3">
        <v>7162</v>
      </c>
      <c r="N630" t="s">
        <v>4</v>
      </c>
      <c r="O630" s="6">
        <v>3477</v>
      </c>
      <c r="P630" s="12">
        <f t="shared" si="18"/>
        <v>4016</v>
      </c>
      <c r="Q630" t="str">
        <f t="shared" si="19"/>
        <v>⑤만기경과 후 12개월 초과</v>
      </c>
    </row>
    <row r="631" spans="1:17" ht="13.95" customHeight="1" outlineLevel="3" x14ac:dyDescent="0.25">
      <c r="A631" t="s">
        <v>7</v>
      </c>
      <c r="B631" s="2">
        <v>36739</v>
      </c>
      <c r="C631" s="2">
        <v>36822</v>
      </c>
      <c r="D631" s="2">
        <v>36739</v>
      </c>
      <c r="E631" s="2"/>
      <c r="F631" t="s">
        <v>2</v>
      </c>
      <c r="G631" s="3">
        <v>0</v>
      </c>
      <c r="H631" s="4">
        <v>3201.6</v>
      </c>
      <c r="I631" t="s">
        <v>3</v>
      </c>
      <c r="J631" s="6">
        <v>1600000207</v>
      </c>
      <c r="K631" t="s">
        <v>0</v>
      </c>
      <c r="L631" s="3">
        <v>7315</v>
      </c>
      <c r="M631" s="3">
        <v>7315</v>
      </c>
      <c r="N631" t="s">
        <v>4</v>
      </c>
      <c r="O631" s="6">
        <v>3477</v>
      </c>
      <c r="P631" s="12">
        <f t="shared" si="18"/>
        <v>4169</v>
      </c>
      <c r="Q631" t="str">
        <f t="shared" si="19"/>
        <v>⑤만기경과 후 12개월 초과</v>
      </c>
    </row>
    <row r="632" spans="1:17" ht="13.95" customHeight="1" outlineLevel="3" x14ac:dyDescent="0.25">
      <c r="A632" t="s">
        <v>7</v>
      </c>
      <c r="B632" s="2">
        <v>36770</v>
      </c>
      <c r="C632" s="2">
        <v>36822</v>
      </c>
      <c r="D632" s="2">
        <v>36770</v>
      </c>
      <c r="E632" s="2"/>
      <c r="F632" t="s">
        <v>2</v>
      </c>
      <c r="G632" s="3">
        <v>0</v>
      </c>
      <c r="H632" s="4">
        <v>3201.6</v>
      </c>
      <c r="I632" t="s">
        <v>3</v>
      </c>
      <c r="J632" s="6">
        <v>1600000208</v>
      </c>
      <c r="K632" t="s">
        <v>0</v>
      </c>
      <c r="L632" s="3">
        <v>7284</v>
      </c>
      <c r="M632" s="3">
        <v>7284</v>
      </c>
      <c r="N632" t="s">
        <v>4</v>
      </c>
      <c r="O632" s="6">
        <v>3477</v>
      </c>
      <c r="P632" s="12">
        <f t="shared" si="18"/>
        <v>4138</v>
      </c>
      <c r="Q632" t="str">
        <f t="shared" si="19"/>
        <v>⑤만기경과 후 12개월 초과</v>
      </c>
    </row>
    <row r="633" spans="1:17" ht="13.95" customHeight="1" outlineLevel="3" x14ac:dyDescent="0.25">
      <c r="A633" t="s">
        <v>1</v>
      </c>
      <c r="B633" s="2">
        <v>37546</v>
      </c>
      <c r="C633" s="2">
        <v>37546</v>
      </c>
      <c r="D633" s="2">
        <v>37546</v>
      </c>
      <c r="E633" s="2"/>
      <c r="F633" t="s">
        <v>2</v>
      </c>
      <c r="G633" s="3">
        <v>0</v>
      </c>
      <c r="H633" s="4">
        <v>16240</v>
      </c>
      <c r="I633" t="s">
        <v>3</v>
      </c>
      <c r="J633" s="6">
        <v>100004392</v>
      </c>
      <c r="K633" t="s">
        <v>0</v>
      </c>
      <c r="L633" s="3">
        <v>6508</v>
      </c>
      <c r="M633" s="3">
        <v>6508</v>
      </c>
      <c r="N633" t="s">
        <v>4</v>
      </c>
      <c r="O633" s="6">
        <v>4999</v>
      </c>
      <c r="P633" s="12">
        <f t="shared" si="18"/>
        <v>3362</v>
      </c>
      <c r="Q633" t="str">
        <f t="shared" si="19"/>
        <v>⑤만기경과 후 12개월 초과</v>
      </c>
    </row>
    <row r="634" spans="1:17" ht="13.95" customHeight="1" outlineLevel="3" x14ac:dyDescent="0.25">
      <c r="A634" t="s">
        <v>5</v>
      </c>
      <c r="B634" s="2">
        <v>38737</v>
      </c>
      <c r="C634" s="2">
        <v>38737</v>
      </c>
      <c r="D634" s="2">
        <v>38666</v>
      </c>
      <c r="E634" s="2"/>
      <c r="F634" t="s">
        <v>2</v>
      </c>
      <c r="G634" s="3">
        <v>0</v>
      </c>
      <c r="H634" s="4">
        <v>100</v>
      </c>
      <c r="I634" t="s">
        <v>3</v>
      </c>
      <c r="J634" s="6">
        <v>1400000003</v>
      </c>
      <c r="K634" t="s">
        <v>0</v>
      </c>
      <c r="L634" s="3">
        <v>5388</v>
      </c>
      <c r="M634" s="3">
        <v>5388</v>
      </c>
      <c r="N634" t="s">
        <v>4</v>
      </c>
      <c r="O634" s="6">
        <v>8886</v>
      </c>
      <c r="P634" s="12">
        <f t="shared" si="18"/>
        <v>2242</v>
      </c>
      <c r="Q634" t="str">
        <f t="shared" si="19"/>
        <v>⑤만기경과 후 12개월 초과</v>
      </c>
    </row>
    <row r="635" spans="1:17" ht="13.95" customHeight="1" outlineLevel="3" x14ac:dyDescent="0.25">
      <c r="A635" t="s">
        <v>1</v>
      </c>
      <c r="B635" s="2">
        <v>37491</v>
      </c>
      <c r="C635" s="2">
        <v>37491</v>
      </c>
      <c r="D635" s="2">
        <v>37536</v>
      </c>
      <c r="E635" s="2"/>
      <c r="F635" t="s">
        <v>2</v>
      </c>
      <c r="G635" s="3">
        <v>45</v>
      </c>
      <c r="H635" s="4">
        <v>8006.78</v>
      </c>
      <c r="I635" t="s">
        <v>3</v>
      </c>
      <c r="J635" s="6">
        <v>100003807</v>
      </c>
      <c r="K635" t="s">
        <v>0</v>
      </c>
      <c r="L635" s="3">
        <v>6549</v>
      </c>
      <c r="M635" s="3">
        <v>6518</v>
      </c>
      <c r="N635" t="s">
        <v>4</v>
      </c>
      <c r="O635" s="6">
        <v>8888</v>
      </c>
      <c r="P635" s="12">
        <f t="shared" si="18"/>
        <v>3372</v>
      </c>
      <c r="Q635" t="str">
        <f t="shared" si="19"/>
        <v>⑤만기경과 후 12개월 초과</v>
      </c>
    </row>
    <row r="636" spans="1:17" ht="13.95" customHeight="1" outlineLevel="3" x14ac:dyDescent="0.25">
      <c r="A636" t="s">
        <v>5</v>
      </c>
      <c r="B636" s="2">
        <v>37488</v>
      </c>
      <c r="C636" s="2">
        <v>37491</v>
      </c>
      <c r="D636" s="2">
        <v>37488</v>
      </c>
      <c r="E636" s="2"/>
      <c r="F636" t="s">
        <v>2</v>
      </c>
      <c r="G636" s="3">
        <v>0</v>
      </c>
      <c r="H636" s="4">
        <v>-1100</v>
      </c>
      <c r="I636" t="s">
        <v>3</v>
      </c>
      <c r="J636" s="6">
        <v>1400000806</v>
      </c>
      <c r="K636" t="s">
        <v>0</v>
      </c>
      <c r="L636" s="3">
        <v>6566</v>
      </c>
      <c r="M636" s="3">
        <v>6566</v>
      </c>
      <c r="N636" t="s">
        <v>4</v>
      </c>
      <c r="O636" s="6">
        <v>8888</v>
      </c>
      <c r="P636" s="12">
        <f t="shared" si="18"/>
        <v>3420</v>
      </c>
      <c r="Q636" t="str">
        <f t="shared" si="19"/>
        <v>⑤만기경과 후 12개월 초과</v>
      </c>
    </row>
    <row r="637" spans="1:17" ht="13.95" customHeight="1" outlineLevel="3" x14ac:dyDescent="0.25">
      <c r="A637" t="s">
        <v>9</v>
      </c>
      <c r="B637" s="2">
        <v>37491</v>
      </c>
      <c r="C637" s="2">
        <v>37491</v>
      </c>
      <c r="D637" s="2">
        <v>37491</v>
      </c>
      <c r="E637" s="2"/>
      <c r="F637" t="s">
        <v>2</v>
      </c>
      <c r="G637" s="3">
        <v>0</v>
      </c>
      <c r="H637" s="4">
        <v>-50</v>
      </c>
      <c r="I637" t="s">
        <v>3</v>
      </c>
      <c r="J637" s="6">
        <v>1600000206</v>
      </c>
      <c r="K637" t="s">
        <v>0</v>
      </c>
      <c r="L637" s="3">
        <v>6563</v>
      </c>
      <c r="M637" s="3">
        <v>6563</v>
      </c>
      <c r="N637" t="s">
        <v>4</v>
      </c>
      <c r="O637" s="6">
        <v>8888</v>
      </c>
      <c r="P637" s="12">
        <f t="shared" si="18"/>
        <v>3417</v>
      </c>
      <c r="Q637" t="str">
        <f t="shared" si="19"/>
        <v>⑤만기경과 후 12개월 초과</v>
      </c>
    </row>
    <row r="638" spans="1:17" ht="13.95" customHeight="1" outlineLevel="3" x14ac:dyDescent="0.25">
      <c r="A638" t="s">
        <v>1</v>
      </c>
      <c r="B638" s="2">
        <v>39415</v>
      </c>
      <c r="C638" s="2">
        <v>39415</v>
      </c>
      <c r="D638" s="2">
        <v>39460</v>
      </c>
      <c r="E638" s="2"/>
      <c r="F638" t="s">
        <v>2</v>
      </c>
      <c r="G638" s="3">
        <v>45</v>
      </c>
      <c r="H638" s="4">
        <v>12495</v>
      </c>
      <c r="I638" t="s">
        <v>3</v>
      </c>
      <c r="J638" s="6">
        <v>1400000202</v>
      </c>
      <c r="K638" t="s">
        <v>0</v>
      </c>
      <c r="L638" s="3">
        <v>4625</v>
      </c>
      <c r="M638" s="3">
        <v>4594</v>
      </c>
      <c r="N638" t="s">
        <v>4</v>
      </c>
      <c r="O638" s="6">
        <v>8888</v>
      </c>
      <c r="P638" s="12">
        <f t="shared" si="18"/>
        <v>1448</v>
      </c>
      <c r="Q638" t="str">
        <f t="shared" si="19"/>
        <v>⑤만기경과 후 12개월 초과</v>
      </c>
    </row>
    <row r="639" spans="1:17" ht="13.95" customHeight="1" outlineLevel="3" x14ac:dyDescent="0.25">
      <c r="A639" t="s">
        <v>6</v>
      </c>
      <c r="B639" s="2">
        <v>39415</v>
      </c>
      <c r="C639" s="2">
        <v>39415</v>
      </c>
      <c r="D639" s="2">
        <v>39415</v>
      </c>
      <c r="E639" s="2"/>
      <c r="F639" t="s">
        <v>2</v>
      </c>
      <c r="G639" s="3">
        <v>0</v>
      </c>
      <c r="H639" s="4">
        <v>1950</v>
      </c>
      <c r="I639" t="s">
        <v>3</v>
      </c>
      <c r="J639" s="6">
        <v>1800000000</v>
      </c>
      <c r="K639" t="s">
        <v>0</v>
      </c>
      <c r="L639" s="3">
        <v>4639</v>
      </c>
      <c r="M639" s="3">
        <v>4639</v>
      </c>
      <c r="N639" t="s">
        <v>4</v>
      </c>
      <c r="O639" s="6">
        <v>8888</v>
      </c>
      <c r="P639" s="12">
        <f t="shared" si="18"/>
        <v>1493</v>
      </c>
      <c r="Q639" t="str">
        <f t="shared" si="19"/>
        <v>⑤만기경과 후 12개월 초과</v>
      </c>
    </row>
    <row r="640" spans="1:17" ht="13.95" customHeight="1" outlineLevel="3" x14ac:dyDescent="0.25">
      <c r="A640" t="s">
        <v>6</v>
      </c>
      <c r="B640" s="2">
        <v>39415</v>
      </c>
      <c r="C640" s="2">
        <v>39415</v>
      </c>
      <c r="D640" s="2">
        <v>39415</v>
      </c>
      <c r="E640" s="2"/>
      <c r="F640" t="s">
        <v>2</v>
      </c>
      <c r="G640" s="3">
        <v>0</v>
      </c>
      <c r="H640" s="4">
        <v>7777</v>
      </c>
      <c r="I640" t="s">
        <v>3</v>
      </c>
      <c r="J640" s="6">
        <v>1800000001</v>
      </c>
      <c r="K640" t="s">
        <v>0</v>
      </c>
      <c r="L640" s="3">
        <v>4639</v>
      </c>
      <c r="M640" s="3">
        <v>4639</v>
      </c>
      <c r="N640" t="s">
        <v>4</v>
      </c>
      <c r="O640" s="6">
        <v>8888</v>
      </c>
      <c r="P640" s="12">
        <f t="shared" si="18"/>
        <v>1493</v>
      </c>
      <c r="Q640" t="str">
        <f t="shared" si="19"/>
        <v>⑤만기경과 후 12개월 초과</v>
      </c>
    </row>
    <row r="641" spans="1:17" ht="13.95" customHeight="1" outlineLevel="3" x14ac:dyDescent="0.25">
      <c r="A641" t="s">
        <v>1</v>
      </c>
      <c r="B641" s="2">
        <v>38735</v>
      </c>
      <c r="C641" s="2">
        <v>38735</v>
      </c>
      <c r="D641" s="2">
        <v>38780</v>
      </c>
      <c r="E641" s="2"/>
      <c r="F641" t="s">
        <v>2</v>
      </c>
      <c r="G641" s="3">
        <v>45</v>
      </c>
      <c r="H641" s="4">
        <v>625</v>
      </c>
      <c r="I641" t="s">
        <v>3</v>
      </c>
      <c r="J641" s="6">
        <v>1400000080</v>
      </c>
      <c r="K641" t="s">
        <v>0</v>
      </c>
      <c r="L641" s="3">
        <v>5305</v>
      </c>
      <c r="M641" s="3">
        <v>5274</v>
      </c>
      <c r="N641" t="s">
        <v>10</v>
      </c>
      <c r="O641" s="6">
        <v>10004</v>
      </c>
      <c r="P641" s="12">
        <f t="shared" si="18"/>
        <v>2128</v>
      </c>
      <c r="Q641" t="str">
        <f t="shared" si="19"/>
        <v>⑤만기경과 후 12개월 초과</v>
      </c>
    </row>
    <row r="642" spans="1:17" ht="13.95" customHeight="1" outlineLevel="3" x14ac:dyDescent="0.25">
      <c r="A642" t="s">
        <v>1</v>
      </c>
      <c r="B642" s="2">
        <v>39856</v>
      </c>
      <c r="C642" s="2">
        <v>39856</v>
      </c>
      <c r="D642" s="2">
        <v>39901</v>
      </c>
      <c r="E642" s="2"/>
      <c r="F642" t="s">
        <v>2</v>
      </c>
      <c r="G642" s="3">
        <v>45</v>
      </c>
      <c r="H642" s="4">
        <v>2500</v>
      </c>
      <c r="I642" t="s">
        <v>3</v>
      </c>
      <c r="J642" s="6">
        <v>1400000188</v>
      </c>
      <c r="K642" t="s">
        <v>0</v>
      </c>
      <c r="L642" s="3">
        <v>4184</v>
      </c>
      <c r="M642" s="3">
        <v>4153</v>
      </c>
      <c r="N642" t="s">
        <v>10</v>
      </c>
      <c r="O642" s="6">
        <v>10004</v>
      </c>
      <c r="P642" s="12">
        <f t="shared" si="18"/>
        <v>1007</v>
      </c>
      <c r="Q642" t="str">
        <f t="shared" si="19"/>
        <v>⑤만기경과 후 12개월 초과</v>
      </c>
    </row>
    <row r="643" spans="1:17" ht="13.95" customHeight="1" outlineLevel="3" x14ac:dyDescent="0.25">
      <c r="A643" t="s">
        <v>1</v>
      </c>
      <c r="B643" s="2">
        <v>42242</v>
      </c>
      <c r="C643" s="2">
        <v>42242</v>
      </c>
      <c r="D643" s="2">
        <v>42287</v>
      </c>
      <c r="E643" s="2"/>
      <c r="F643" t="s">
        <v>2</v>
      </c>
      <c r="G643" s="3">
        <v>45</v>
      </c>
      <c r="H643" s="4">
        <v>2500</v>
      </c>
      <c r="I643" t="s">
        <v>3</v>
      </c>
      <c r="J643" s="6">
        <v>1400000059</v>
      </c>
      <c r="K643" t="s">
        <v>0</v>
      </c>
      <c r="L643" s="3">
        <v>1798</v>
      </c>
      <c r="M643" s="3">
        <v>1767</v>
      </c>
      <c r="N643" t="s">
        <v>10</v>
      </c>
      <c r="O643" s="6">
        <v>10004</v>
      </c>
      <c r="P643" s="12">
        <f t="shared" ref="P643:P655" si="20">$T$1-D643</f>
        <v>-1379</v>
      </c>
      <c r="Q643" t="str">
        <f t="shared" ref="Q643:Q655" si="21">IF(P643&lt;=0,"①연체되지 않은 채권",IF(P643&lt;=92,"②만기경과 후 3개월 이하",IF(P643&lt;=184,"③만기경과 후 4~6개월",IF(P643&lt;=365,"④만기경과 후 7~12개월","⑤만기경과 후 12개월 초과"))))</f>
        <v>①연체되지 않은 채권</v>
      </c>
    </row>
    <row r="644" spans="1:17" ht="13.95" customHeight="1" outlineLevel="3" x14ac:dyDescent="0.25">
      <c r="A644" t="s">
        <v>1</v>
      </c>
      <c r="B644" s="2">
        <v>42242</v>
      </c>
      <c r="C644" s="2">
        <v>42242</v>
      </c>
      <c r="D644" s="2">
        <v>42287</v>
      </c>
      <c r="E644" s="2"/>
      <c r="F644" t="s">
        <v>2</v>
      </c>
      <c r="G644" s="3">
        <v>45</v>
      </c>
      <c r="H644" s="4">
        <v>250</v>
      </c>
      <c r="I644" t="s">
        <v>3</v>
      </c>
      <c r="J644" s="6">
        <v>1400000060</v>
      </c>
      <c r="K644" t="s">
        <v>0</v>
      </c>
      <c r="L644" s="3">
        <v>1798</v>
      </c>
      <c r="M644" s="3">
        <v>1767</v>
      </c>
      <c r="N644" t="s">
        <v>10</v>
      </c>
      <c r="O644" s="6">
        <v>10004</v>
      </c>
      <c r="P644" s="12">
        <f t="shared" si="20"/>
        <v>-1379</v>
      </c>
      <c r="Q644" t="str">
        <f t="shared" si="21"/>
        <v>①연체되지 않은 채권</v>
      </c>
    </row>
    <row r="645" spans="1:17" ht="13.95" customHeight="1" outlineLevel="3" x14ac:dyDescent="0.25">
      <c r="A645" t="s">
        <v>1</v>
      </c>
      <c r="B645" s="2">
        <v>42242</v>
      </c>
      <c r="C645" s="2">
        <v>42242</v>
      </c>
      <c r="D645" s="2">
        <v>42287</v>
      </c>
      <c r="E645" s="2"/>
      <c r="F645" t="s">
        <v>2</v>
      </c>
      <c r="G645" s="3">
        <v>45</v>
      </c>
      <c r="H645" s="4">
        <v>250</v>
      </c>
      <c r="I645" t="s">
        <v>3</v>
      </c>
      <c r="J645" s="6">
        <v>1400000061</v>
      </c>
      <c r="K645" t="s">
        <v>0</v>
      </c>
      <c r="L645" s="3">
        <v>1798</v>
      </c>
      <c r="M645" s="3">
        <v>1767</v>
      </c>
      <c r="N645" t="s">
        <v>10</v>
      </c>
      <c r="O645" s="6">
        <v>10004</v>
      </c>
      <c r="P645" s="12">
        <f t="shared" si="20"/>
        <v>-1379</v>
      </c>
      <c r="Q645" t="str">
        <f t="shared" si="21"/>
        <v>①연체되지 않은 채권</v>
      </c>
    </row>
    <row r="646" spans="1:17" ht="13.95" customHeight="1" outlineLevel="3" x14ac:dyDescent="0.25">
      <c r="A646" t="s">
        <v>1</v>
      </c>
      <c r="B646" s="2">
        <v>42247</v>
      </c>
      <c r="C646" s="2">
        <v>42247</v>
      </c>
      <c r="D646" s="2">
        <v>42292</v>
      </c>
      <c r="E646" s="2"/>
      <c r="F646" t="s">
        <v>2</v>
      </c>
      <c r="G646" s="3">
        <v>45</v>
      </c>
      <c r="H646" s="4">
        <v>2500</v>
      </c>
      <c r="I646" t="s">
        <v>3</v>
      </c>
      <c r="J646" s="6">
        <v>1400000062</v>
      </c>
      <c r="K646" t="s">
        <v>0</v>
      </c>
      <c r="L646" s="3">
        <v>1793</v>
      </c>
      <c r="M646" s="3">
        <v>1762</v>
      </c>
      <c r="N646" t="s">
        <v>10</v>
      </c>
      <c r="O646" s="6">
        <v>10004</v>
      </c>
      <c r="P646" s="12">
        <f t="shared" si="20"/>
        <v>-1384</v>
      </c>
      <c r="Q646" t="str">
        <f t="shared" si="21"/>
        <v>①연체되지 않은 채권</v>
      </c>
    </row>
    <row r="647" spans="1:17" ht="13.95" customHeight="1" outlineLevel="3" x14ac:dyDescent="0.25">
      <c r="A647" t="s">
        <v>1</v>
      </c>
      <c r="B647" s="2">
        <v>39282</v>
      </c>
      <c r="C647" s="2">
        <v>39282</v>
      </c>
      <c r="D647" s="2">
        <v>39327</v>
      </c>
      <c r="E647" s="2"/>
      <c r="F647" t="s">
        <v>2</v>
      </c>
      <c r="G647" s="3">
        <v>45</v>
      </c>
      <c r="H647" s="4">
        <v>595000</v>
      </c>
      <c r="I647" t="s">
        <v>3</v>
      </c>
      <c r="J647" s="6">
        <v>1400000114</v>
      </c>
      <c r="K647" t="s">
        <v>0</v>
      </c>
      <c r="L647" s="3">
        <v>4758</v>
      </c>
      <c r="M647" s="3">
        <v>4727</v>
      </c>
      <c r="N647" t="s">
        <v>10</v>
      </c>
      <c r="O647" s="6">
        <v>10005</v>
      </c>
      <c r="P647" s="12">
        <f t="shared" si="20"/>
        <v>1581</v>
      </c>
      <c r="Q647" t="str">
        <f t="shared" si="21"/>
        <v>⑤만기경과 후 12개월 초과</v>
      </c>
    </row>
    <row r="648" spans="1:17" ht="13.95" customHeight="1" outlineLevel="3" x14ac:dyDescent="0.25">
      <c r="A648" t="s">
        <v>1</v>
      </c>
      <c r="B648" s="2">
        <v>39303</v>
      </c>
      <c r="C648" s="2">
        <v>39303</v>
      </c>
      <c r="D648" s="2">
        <v>39348</v>
      </c>
      <c r="E648" s="2"/>
      <c r="F648" t="s">
        <v>2</v>
      </c>
      <c r="G648" s="3">
        <v>45</v>
      </c>
      <c r="H648" s="4">
        <v>476000</v>
      </c>
      <c r="I648" t="s">
        <v>3</v>
      </c>
      <c r="J648" s="6">
        <v>1400000134</v>
      </c>
      <c r="K648" t="s">
        <v>0</v>
      </c>
      <c r="L648" s="3">
        <v>4737</v>
      </c>
      <c r="M648" s="3">
        <v>4706</v>
      </c>
      <c r="N648" t="s">
        <v>10</v>
      </c>
      <c r="O648" s="6">
        <v>10005</v>
      </c>
      <c r="P648" s="12">
        <f t="shared" si="20"/>
        <v>1560</v>
      </c>
      <c r="Q648" t="str">
        <f t="shared" si="21"/>
        <v>⑤만기경과 후 12개월 초과</v>
      </c>
    </row>
    <row r="649" spans="1:17" ht="13.95" customHeight="1" outlineLevel="3" x14ac:dyDescent="0.25">
      <c r="A649" t="s">
        <v>1</v>
      </c>
      <c r="B649" s="2">
        <v>39307</v>
      </c>
      <c r="C649" s="2">
        <v>39307</v>
      </c>
      <c r="D649" s="2">
        <v>39352</v>
      </c>
      <c r="E649" s="2"/>
      <c r="F649" t="s">
        <v>2</v>
      </c>
      <c r="G649" s="3">
        <v>45</v>
      </c>
      <c r="H649" s="4">
        <v>476000</v>
      </c>
      <c r="I649" t="s">
        <v>3</v>
      </c>
      <c r="J649" s="6">
        <v>1400000135</v>
      </c>
      <c r="K649" t="s">
        <v>0</v>
      </c>
      <c r="L649" s="3">
        <v>4733</v>
      </c>
      <c r="M649" s="3">
        <v>4702</v>
      </c>
      <c r="N649" t="s">
        <v>10</v>
      </c>
      <c r="O649" s="6">
        <v>10005</v>
      </c>
      <c r="P649" s="12">
        <f t="shared" si="20"/>
        <v>1556</v>
      </c>
      <c r="Q649" t="str">
        <f t="shared" si="21"/>
        <v>⑤만기경과 후 12개월 초과</v>
      </c>
    </row>
    <row r="650" spans="1:17" ht="13.95" customHeight="1" outlineLevel="3" x14ac:dyDescent="0.25">
      <c r="A650" t="s">
        <v>1</v>
      </c>
      <c r="B650" s="2">
        <v>42825</v>
      </c>
      <c r="C650" s="2">
        <v>42825</v>
      </c>
      <c r="D650" s="2">
        <v>42825</v>
      </c>
      <c r="E650" s="2"/>
      <c r="F650" t="s">
        <v>2</v>
      </c>
      <c r="G650" s="3">
        <v>0</v>
      </c>
      <c r="H650" s="4">
        <v>500</v>
      </c>
      <c r="I650" t="s">
        <v>3</v>
      </c>
      <c r="J650" s="6">
        <v>1400000004</v>
      </c>
      <c r="K650" t="s">
        <v>0</v>
      </c>
      <c r="L650" s="3">
        <v>1229</v>
      </c>
      <c r="M650" s="3">
        <v>1229</v>
      </c>
      <c r="N650" t="s">
        <v>4</v>
      </c>
      <c r="O650" s="6">
        <v>13000</v>
      </c>
      <c r="P650" s="12">
        <f t="shared" si="20"/>
        <v>-1917</v>
      </c>
      <c r="Q650" t="str">
        <f t="shared" si="21"/>
        <v>①연체되지 않은 채권</v>
      </c>
    </row>
    <row r="651" spans="1:17" ht="13.95" customHeight="1" outlineLevel="3" x14ac:dyDescent="0.25">
      <c r="A651" t="s">
        <v>1</v>
      </c>
      <c r="B651" s="2">
        <v>42825</v>
      </c>
      <c r="C651" s="2">
        <v>42825</v>
      </c>
      <c r="D651" s="2">
        <v>42825</v>
      </c>
      <c r="E651" s="2"/>
      <c r="F651" t="s">
        <v>2</v>
      </c>
      <c r="G651" s="3">
        <v>0</v>
      </c>
      <c r="H651" s="4">
        <v>595</v>
      </c>
      <c r="I651" t="s">
        <v>3</v>
      </c>
      <c r="J651" s="6">
        <v>1400000005</v>
      </c>
      <c r="K651" t="s">
        <v>0</v>
      </c>
      <c r="L651" s="3">
        <v>1229</v>
      </c>
      <c r="M651" s="3">
        <v>1229</v>
      </c>
      <c r="N651" t="s">
        <v>4</v>
      </c>
      <c r="O651" s="6">
        <v>13000</v>
      </c>
      <c r="P651" s="12">
        <f t="shared" si="20"/>
        <v>-1917</v>
      </c>
      <c r="Q651" t="str">
        <f t="shared" si="21"/>
        <v>①연체되지 않은 채권</v>
      </c>
    </row>
    <row r="652" spans="1:17" ht="13.95" customHeight="1" outlineLevel="3" x14ac:dyDescent="0.25">
      <c r="A652" t="s">
        <v>1</v>
      </c>
      <c r="B652" s="2">
        <v>42831</v>
      </c>
      <c r="C652" s="2">
        <v>42831</v>
      </c>
      <c r="D652" s="2">
        <v>42831</v>
      </c>
      <c r="E652" s="2"/>
      <c r="F652" t="s">
        <v>2</v>
      </c>
      <c r="G652" s="3">
        <v>0</v>
      </c>
      <c r="H652" s="4">
        <v>500</v>
      </c>
      <c r="I652" t="s">
        <v>3</v>
      </c>
      <c r="J652" s="6">
        <v>1400000006</v>
      </c>
      <c r="K652" t="s">
        <v>0</v>
      </c>
      <c r="L652" s="3">
        <v>1223</v>
      </c>
      <c r="M652" s="3">
        <v>1223</v>
      </c>
      <c r="N652" t="s">
        <v>4</v>
      </c>
      <c r="O652" s="6">
        <v>13000</v>
      </c>
      <c r="P652" s="12">
        <f t="shared" si="20"/>
        <v>-1923</v>
      </c>
      <c r="Q652" t="str">
        <f t="shared" si="21"/>
        <v>①연체되지 않은 채권</v>
      </c>
    </row>
    <row r="653" spans="1:17" ht="13.95" customHeight="1" outlineLevel="3" x14ac:dyDescent="0.25">
      <c r="A653" t="s">
        <v>1</v>
      </c>
      <c r="B653" s="2">
        <v>42835</v>
      </c>
      <c r="C653" s="2">
        <v>42835</v>
      </c>
      <c r="D653" s="2">
        <v>42835</v>
      </c>
      <c r="E653" s="2"/>
      <c r="F653" t="s">
        <v>2</v>
      </c>
      <c r="G653" s="3">
        <v>0</v>
      </c>
      <c r="H653" s="4">
        <v>500</v>
      </c>
      <c r="I653" t="s">
        <v>3</v>
      </c>
      <c r="J653" s="6">
        <v>1400000007</v>
      </c>
      <c r="K653" t="s">
        <v>0</v>
      </c>
      <c r="L653" s="3">
        <v>1219</v>
      </c>
      <c r="M653" s="3">
        <v>1219</v>
      </c>
      <c r="N653" t="s">
        <v>4</v>
      </c>
      <c r="O653" s="6">
        <v>13004</v>
      </c>
      <c r="P653" s="12">
        <f t="shared" si="20"/>
        <v>-1927</v>
      </c>
      <c r="Q653" t="str">
        <f t="shared" si="21"/>
        <v>①연체되지 않은 채권</v>
      </c>
    </row>
    <row r="654" spans="1:17" ht="13.95" customHeight="1" outlineLevel="3" x14ac:dyDescent="0.25">
      <c r="A654" t="s">
        <v>1</v>
      </c>
      <c r="B654" s="2">
        <v>42844</v>
      </c>
      <c r="C654" s="2">
        <v>42844</v>
      </c>
      <c r="D654" s="2">
        <v>42844</v>
      </c>
      <c r="E654" s="2"/>
      <c r="F654" t="s">
        <v>2</v>
      </c>
      <c r="G654" s="3">
        <v>0</v>
      </c>
      <c r="H654" s="4">
        <v>500</v>
      </c>
      <c r="I654" t="s">
        <v>3</v>
      </c>
      <c r="J654" s="6">
        <v>1400000008</v>
      </c>
      <c r="K654" t="s">
        <v>0</v>
      </c>
      <c r="L654" s="3">
        <v>1210</v>
      </c>
      <c r="M654" s="3">
        <v>1210</v>
      </c>
      <c r="N654" t="s">
        <v>4</v>
      </c>
      <c r="O654" s="6">
        <v>13007</v>
      </c>
      <c r="P654" s="12">
        <f t="shared" si="20"/>
        <v>-1936</v>
      </c>
      <c r="Q654" t="str">
        <f t="shared" si="21"/>
        <v>①연체되지 않은 채권</v>
      </c>
    </row>
    <row r="655" spans="1:17" ht="13.95" customHeight="1" outlineLevel="3" x14ac:dyDescent="0.25">
      <c r="A655" t="s">
        <v>1</v>
      </c>
      <c r="B655" s="2">
        <v>42844</v>
      </c>
      <c r="C655" s="2">
        <v>42844</v>
      </c>
      <c r="D655" s="2">
        <v>42844</v>
      </c>
      <c r="E655" s="2"/>
      <c r="F655" t="s">
        <v>2</v>
      </c>
      <c r="G655" s="3">
        <v>0</v>
      </c>
      <c r="H655" s="4">
        <v>595</v>
      </c>
      <c r="I655" t="s">
        <v>3</v>
      </c>
      <c r="J655" s="6">
        <v>1400000009</v>
      </c>
      <c r="K655" t="s">
        <v>0</v>
      </c>
      <c r="L655" s="3">
        <v>1210</v>
      </c>
      <c r="M655" s="3">
        <v>1210</v>
      </c>
      <c r="N655" t="s">
        <v>4</v>
      </c>
      <c r="O655" s="6">
        <v>13007</v>
      </c>
      <c r="P655" s="12">
        <f t="shared" si="20"/>
        <v>-1936</v>
      </c>
      <c r="Q655" t="str">
        <f t="shared" si="21"/>
        <v>①연체되지 않은 채권</v>
      </c>
    </row>
  </sheetData>
  <autoFilter ref="A1:Q655" xr:uid="{498902E8-CC7B-411E-844E-CA511B064408}"/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DD299-AADC-48CF-AF14-A287EA180900}">
  <sheetPr>
    <tabColor rgb="FFC00000"/>
  </sheetPr>
  <dimension ref="A1:Q655"/>
  <sheetViews>
    <sheetView tabSelected="1" workbookViewId="0">
      <selection activeCell="H3" sqref="H3"/>
    </sheetView>
  </sheetViews>
  <sheetFormatPr defaultRowHeight="13.2" outlineLevelRow="3" x14ac:dyDescent="0.25"/>
  <cols>
    <col min="1" max="1" width="7" bestFit="1" customWidth="1"/>
    <col min="2" max="5" width="13" bestFit="1" customWidth="1"/>
    <col min="6" max="6" width="6" bestFit="1" customWidth="1"/>
    <col min="7" max="7" width="7" bestFit="1" customWidth="1"/>
    <col min="8" max="8" width="13" bestFit="1" customWidth="1"/>
    <col min="9" max="9" width="7" bestFit="1" customWidth="1"/>
    <col min="10" max="10" width="12" bestFit="1" customWidth="1"/>
    <col min="11" max="11" width="7" bestFit="1" customWidth="1"/>
    <col min="12" max="12" width="9" bestFit="1" customWidth="1"/>
    <col min="13" max="13" width="11" bestFit="1" customWidth="1"/>
    <col min="14" max="14" width="8" bestFit="1" customWidth="1"/>
    <col min="15" max="15" width="7" bestFit="1" customWidth="1"/>
    <col min="17" max="17" width="14.88671875" customWidth="1"/>
  </cols>
  <sheetData>
    <row r="1" spans="1:17" x14ac:dyDescent="0.25">
      <c r="A1" s="7" t="s">
        <v>11</v>
      </c>
      <c r="B1" s="7" t="s">
        <v>12</v>
      </c>
      <c r="C1" s="7" t="s">
        <v>13</v>
      </c>
      <c r="D1" s="7" t="s">
        <v>14</v>
      </c>
      <c r="E1" s="7" t="s">
        <v>15</v>
      </c>
      <c r="F1" s="7" t="s">
        <v>16</v>
      </c>
      <c r="G1" s="7" t="s">
        <v>17</v>
      </c>
      <c r="H1" s="7" t="s">
        <v>18</v>
      </c>
      <c r="I1" s="7" t="s">
        <v>19</v>
      </c>
      <c r="J1" s="7" t="s">
        <v>20</v>
      </c>
      <c r="K1" s="7" t="s">
        <v>21</v>
      </c>
      <c r="L1" s="7" t="s">
        <v>22</v>
      </c>
      <c r="M1" s="7" t="s">
        <v>23</v>
      </c>
      <c r="N1" s="7" t="s">
        <v>24</v>
      </c>
      <c r="O1" s="7" t="s">
        <v>25</v>
      </c>
      <c r="P1" s="8" t="s">
        <v>26</v>
      </c>
      <c r="Q1" s="8" t="s">
        <v>27</v>
      </c>
    </row>
    <row r="2" spans="1:17" ht="13.95" customHeight="1" outlineLevel="3" x14ac:dyDescent="0.25">
      <c r="A2" t="s">
        <v>1</v>
      </c>
      <c r="B2" s="2">
        <v>43221</v>
      </c>
      <c r="C2" s="2">
        <v>43221</v>
      </c>
      <c r="D2" s="2">
        <v>43266</v>
      </c>
      <c r="E2" s="2"/>
      <c r="F2" t="s">
        <v>2</v>
      </c>
      <c r="G2" s="3">
        <v>45</v>
      </c>
      <c r="H2" s="4">
        <v>20</v>
      </c>
      <c r="I2" t="s">
        <v>3</v>
      </c>
      <c r="J2" s="6">
        <v>1400000054</v>
      </c>
      <c r="K2" t="s">
        <v>0</v>
      </c>
      <c r="L2" s="3">
        <v>819</v>
      </c>
      <c r="M2" s="3">
        <v>788</v>
      </c>
      <c r="N2" s="6">
        <v>140000</v>
      </c>
      <c r="O2" s="6">
        <v>1001</v>
      </c>
      <c r="P2">
        <v>-2358</v>
      </c>
      <c r="Q2" t="s">
        <v>28</v>
      </c>
    </row>
    <row r="3" spans="1:17" ht="13.95" customHeight="1" outlineLevel="3" x14ac:dyDescent="0.25">
      <c r="A3" t="s">
        <v>1</v>
      </c>
      <c r="B3" s="2">
        <v>43227</v>
      </c>
      <c r="C3" s="2">
        <v>43227</v>
      </c>
      <c r="D3" s="2">
        <v>43272</v>
      </c>
      <c r="E3" s="2"/>
      <c r="F3" t="s">
        <v>2</v>
      </c>
      <c r="G3" s="3">
        <v>45</v>
      </c>
      <c r="H3" s="4">
        <v>20</v>
      </c>
      <c r="I3" t="s">
        <v>3</v>
      </c>
      <c r="J3" s="6">
        <v>1400000088</v>
      </c>
      <c r="K3" t="s">
        <v>0</v>
      </c>
      <c r="L3" s="3">
        <v>813</v>
      </c>
      <c r="M3" s="3">
        <v>782</v>
      </c>
      <c r="N3" s="6">
        <v>140000</v>
      </c>
      <c r="O3" s="6">
        <v>1001</v>
      </c>
      <c r="P3">
        <v>-2364</v>
      </c>
      <c r="Q3" t="s">
        <v>28</v>
      </c>
    </row>
    <row r="4" spans="1:17" ht="13.95" customHeight="1" outlineLevel="3" x14ac:dyDescent="0.25">
      <c r="A4" t="s">
        <v>5</v>
      </c>
      <c r="B4" s="2">
        <v>43237</v>
      </c>
      <c r="C4" s="2">
        <v>43298</v>
      </c>
      <c r="D4" s="2">
        <v>43237</v>
      </c>
      <c r="E4" s="2"/>
      <c r="F4" t="s">
        <v>2</v>
      </c>
      <c r="G4" s="3">
        <v>0</v>
      </c>
      <c r="H4" s="4">
        <v>-0.6</v>
      </c>
      <c r="I4" t="s">
        <v>3</v>
      </c>
      <c r="J4" s="6">
        <v>1400000018</v>
      </c>
      <c r="K4" t="s">
        <v>0</v>
      </c>
      <c r="L4" s="3">
        <v>817</v>
      </c>
      <c r="M4" s="3">
        <v>817</v>
      </c>
      <c r="N4" s="6">
        <v>140000</v>
      </c>
      <c r="O4" s="6">
        <v>1002</v>
      </c>
      <c r="P4">
        <v>-2329</v>
      </c>
      <c r="Q4" t="s">
        <v>28</v>
      </c>
    </row>
    <row r="5" spans="1:17" ht="13.95" customHeight="1" outlineLevel="3" x14ac:dyDescent="0.25">
      <c r="A5" t="s">
        <v>1</v>
      </c>
      <c r="B5" s="2">
        <v>43243</v>
      </c>
      <c r="C5" s="2">
        <v>43243</v>
      </c>
      <c r="D5" s="2">
        <v>43288</v>
      </c>
      <c r="E5" s="2"/>
      <c r="F5" t="s">
        <v>2</v>
      </c>
      <c r="G5" s="3">
        <v>45</v>
      </c>
      <c r="H5" s="4">
        <v>100</v>
      </c>
      <c r="I5" t="s">
        <v>3</v>
      </c>
      <c r="J5" s="6">
        <v>1400000051</v>
      </c>
      <c r="K5" t="s">
        <v>0</v>
      </c>
      <c r="L5" s="3">
        <v>797</v>
      </c>
      <c r="M5" s="3">
        <v>766</v>
      </c>
      <c r="N5" s="6">
        <v>140000</v>
      </c>
      <c r="O5" s="6">
        <v>1002</v>
      </c>
      <c r="P5">
        <v>-2380</v>
      </c>
      <c r="Q5" t="s">
        <v>28</v>
      </c>
    </row>
    <row r="6" spans="1:17" ht="13.95" customHeight="1" outlineLevel="3" x14ac:dyDescent="0.25">
      <c r="A6" t="s">
        <v>1</v>
      </c>
      <c r="B6" s="2">
        <v>40819</v>
      </c>
      <c r="C6" s="2">
        <v>40819</v>
      </c>
      <c r="D6" s="2">
        <v>40864</v>
      </c>
      <c r="E6" s="2"/>
      <c r="F6" t="s">
        <v>2</v>
      </c>
      <c r="G6" s="3">
        <v>45</v>
      </c>
      <c r="H6" s="4">
        <v>21259.7</v>
      </c>
      <c r="I6" t="s">
        <v>3</v>
      </c>
      <c r="J6" s="6">
        <v>1400000083</v>
      </c>
      <c r="K6" t="s">
        <v>0</v>
      </c>
      <c r="L6" s="3">
        <v>3221</v>
      </c>
      <c r="M6" s="3">
        <v>3190</v>
      </c>
      <c r="N6" s="6">
        <v>140000</v>
      </c>
      <c r="O6" s="6">
        <v>1032</v>
      </c>
      <c r="P6">
        <v>44</v>
      </c>
      <c r="Q6" t="s">
        <v>29</v>
      </c>
    </row>
    <row r="7" spans="1:17" ht="13.95" customHeight="1" outlineLevel="3" x14ac:dyDescent="0.25">
      <c r="A7" t="s">
        <v>1</v>
      </c>
      <c r="B7" s="2">
        <v>40819</v>
      </c>
      <c r="C7" s="2">
        <v>40819</v>
      </c>
      <c r="D7" s="2">
        <v>40864</v>
      </c>
      <c r="E7" s="2"/>
      <c r="F7" t="s">
        <v>2</v>
      </c>
      <c r="G7" s="3">
        <v>45</v>
      </c>
      <c r="H7" s="4">
        <v>36557.4</v>
      </c>
      <c r="I7" t="s">
        <v>3</v>
      </c>
      <c r="J7" s="6">
        <v>1400000084</v>
      </c>
      <c r="K7" t="s">
        <v>0</v>
      </c>
      <c r="L7" s="3">
        <v>3221</v>
      </c>
      <c r="M7" s="3">
        <v>3190</v>
      </c>
      <c r="N7" s="6">
        <v>140000</v>
      </c>
      <c r="O7" s="6">
        <v>1032</v>
      </c>
      <c r="P7">
        <v>44</v>
      </c>
      <c r="Q7" t="s">
        <v>29</v>
      </c>
    </row>
    <row r="8" spans="1:17" ht="13.95" customHeight="1" outlineLevel="3" x14ac:dyDescent="0.25">
      <c r="A8" t="s">
        <v>1</v>
      </c>
      <c r="B8" s="2">
        <v>40819</v>
      </c>
      <c r="C8" s="2">
        <v>40819</v>
      </c>
      <c r="D8" s="2">
        <v>40864</v>
      </c>
      <c r="E8" s="2"/>
      <c r="F8" t="s">
        <v>2</v>
      </c>
      <c r="G8" s="3">
        <v>45</v>
      </c>
      <c r="H8" s="4">
        <v>51231</v>
      </c>
      <c r="I8" t="s">
        <v>3</v>
      </c>
      <c r="J8" s="6">
        <v>1400000085</v>
      </c>
      <c r="K8" t="s">
        <v>0</v>
      </c>
      <c r="L8" s="3">
        <v>3221</v>
      </c>
      <c r="M8" s="3">
        <v>3190</v>
      </c>
      <c r="N8" s="6">
        <v>140000</v>
      </c>
      <c r="O8" s="6">
        <v>1032</v>
      </c>
      <c r="P8">
        <v>44</v>
      </c>
      <c r="Q8" t="s">
        <v>29</v>
      </c>
    </row>
    <row r="9" spans="1:17" ht="13.95" customHeight="1" outlineLevel="3" x14ac:dyDescent="0.25">
      <c r="A9" t="s">
        <v>1</v>
      </c>
      <c r="B9" s="2">
        <v>40863</v>
      </c>
      <c r="C9" s="2">
        <v>40863</v>
      </c>
      <c r="D9" s="2">
        <v>40908</v>
      </c>
      <c r="E9" s="2"/>
      <c r="F9" t="s">
        <v>2</v>
      </c>
      <c r="G9" s="3">
        <v>45</v>
      </c>
      <c r="H9" s="4">
        <v>27333.9</v>
      </c>
      <c r="I9" t="s">
        <v>3</v>
      </c>
      <c r="J9" s="6">
        <v>1400000092</v>
      </c>
      <c r="K9" t="s">
        <v>0</v>
      </c>
      <c r="L9" s="3">
        <v>3177</v>
      </c>
      <c r="M9" s="3">
        <v>3146</v>
      </c>
      <c r="N9" s="6">
        <v>140000</v>
      </c>
      <c r="O9" s="6">
        <v>1032</v>
      </c>
      <c r="P9">
        <v>0</v>
      </c>
      <c r="Q9" t="s">
        <v>28</v>
      </c>
    </row>
    <row r="10" spans="1:17" ht="13.95" customHeight="1" outlineLevel="3" x14ac:dyDescent="0.25">
      <c r="A10" t="s">
        <v>1</v>
      </c>
      <c r="B10" s="2">
        <v>40863</v>
      </c>
      <c r="C10" s="2">
        <v>40863</v>
      </c>
      <c r="D10" s="2">
        <v>40908</v>
      </c>
      <c r="E10" s="2"/>
      <c r="F10" t="s">
        <v>2</v>
      </c>
      <c r="G10" s="3">
        <v>45</v>
      </c>
      <c r="H10" s="4">
        <v>33234</v>
      </c>
      <c r="I10" t="s">
        <v>3</v>
      </c>
      <c r="J10" s="6">
        <v>1400000093</v>
      </c>
      <c r="K10" t="s">
        <v>0</v>
      </c>
      <c r="L10" s="3">
        <v>3177</v>
      </c>
      <c r="M10" s="3">
        <v>3146</v>
      </c>
      <c r="N10" s="6">
        <v>140000</v>
      </c>
      <c r="O10" s="6">
        <v>1032</v>
      </c>
      <c r="P10">
        <v>0</v>
      </c>
      <c r="Q10" t="s">
        <v>28</v>
      </c>
    </row>
    <row r="11" spans="1:17" ht="13.95" customHeight="1" outlineLevel="3" x14ac:dyDescent="0.25">
      <c r="A11" t="s">
        <v>1</v>
      </c>
      <c r="B11" s="2">
        <v>40863</v>
      </c>
      <c r="C11" s="2">
        <v>40863</v>
      </c>
      <c r="D11" s="2">
        <v>40908</v>
      </c>
      <c r="E11" s="2"/>
      <c r="F11" t="s">
        <v>2</v>
      </c>
      <c r="G11" s="3">
        <v>45</v>
      </c>
      <c r="H11" s="4">
        <v>47815.6</v>
      </c>
      <c r="I11" t="s">
        <v>3</v>
      </c>
      <c r="J11" s="6">
        <v>1400000094</v>
      </c>
      <c r="K11" t="s">
        <v>0</v>
      </c>
      <c r="L11" s="3">
        <v>3177</v>
      </c>
      <c r="M11" s="3">
        <v>3146</v>
      </c>
      <c r="N11" s="6">
        <v>140000</v>
      </c>
      <c r="O11" s="6">
        <v>1032</v>
      </c>
      <c r="P11">
        <v>0</v>
      </c>
      <c r="Q11" t="s">
        <v>28</v>
      </c>
    </row>
    <row r="12" spans="1:17" ht="13.95" customHeight="1" outlineLevel="3" x14ac:dyDescent="0.25">
      <c r="A12" t="s">
        <v>1</v>
      </c>
      <c r="B12" s="2">
        <v>40882</v>
      </c>
      <c r="C12" s="2">
        <v>40882</v>
      </c>
      <c r="D12" s="2">
        <v>40927</v>
      </c>
      <c r="E12" s="2"/>
      <c r="F12" t="s">
        <v>2</v>
      </c>
      <c r="G12" s="3">
        <v>45</v>
      </c>
      <c r="H12" s="4">
        <v>33408.1</v>
      </c>
      <c r="I12" t="s">
        <v>3</v>
      </c>
      <c r="J12" s="6">
        <v>1400000161</v>
      </c>
      <c r="K12" t="s">
        <v>0</v>
      </c>
      <c r="L12" s="3">
        <v>3158</v>
      </c>
      <c r="M12" s="3">
        <v>3127</v>
      </c>
      <c r="N12" s="6">
        <v>140000</v>
      </c>
      <c r="O12" s="6">
        <v>1032</v>
      </c>
      <c r="P12">
        <v>-19</v>
      </c>
      <c r="Q12" t="s">
        <v>28</v>
      </c>
    </row>
    <row r="13" spans="1:17" ht="13.95" customHeight="1" outlineLevel="3" x14ac:dyDescent="0.25">
      <c r="A13" t="s">
        <v>1</v>
      </c>
      <c r="B13" s="2">
        <v>40882</v>
      </c>
      <c r="C13" s="2">
        <v>40882</v>
      </c>
      <c r="D13" s="2">
        <v>40927</v>
      </c>
      <c r="E13" s="2"/>
      <c r="F13" t="s">
        <v>2</v>
      </c>
      <c r="G13" s="3">
        <v>45</v>
      </c>
      <c r="H13" s="4">
        <v>29910.6</v>
      </c>
      <c r="I13" t="s">
        <v>3</v>
      </c>
      <c r="J13" s="6">
        <v>1400000162</v>
      </c>
      <c r="K13" t="s">
        <v>0</v>
      </c>
      <c r="L13" s="3">
        <v>3158</v>
      </c>
      <c r="M13" s="3">
        <v>3127</v>
      </c>
      <c r="N13" s="6">
        <v>140000</v>
      </c>
      <c r="O13" s="6">
        <v>1032</v>
      </c>
      <c r="P13">
        <v>-19</v>
      </c>
      <c r="Q13" t="s">
        <v>28</v>
      </c>
    </row>
    <row r="14" spans="1:17" ht="13.95" customHeight="1" outlineLevel="3" x14ac:dyDescent="0.25">
      <c r="A14" t="s">
        <v>1</v>
      </c>
      <c r="B14" s="2">
        <v>40882</v>
      </c>
      <c r="C14" s="2">
        <v>40882</v>
      </c>
      <c r="D14" s="2">
        <v>40927</v>
      </c>
      <c r="E14" s="2"/>
      <c r="F14" t="s">
        <v>2</v>
      </c>
      <c r="G14" s="3">
        <v>45</v>
      </c>
      <c r="H14" s="4">
        <v>44400.2</v>
      </c>
      <c r="I14" t="s">
        <v>3</v>
      </c>
      <c r="J14" s="6">
        <v>1400000163</v>
      </c>
      <c r="K14" t="s">
        <v>0</v>
      </c>
      <c r="L14" s="3">
        <v>3158</v>
      </c>
      <c r="M14" s="3">
        <v>3127</v>
      </c>
      <c r="N14" s="6">
        <v>140000</v>
      </c>
      <c r="O14" s="6">
        <v>1032</v>
      </c>
      <c r="P14">
        <v>-19</v>
      </c>
      <c r="Q14" t="s">
        <v>28</v>
      </c>
    </row>
    <row r="15" spans="1:17" ht="13.95" customHeight="1" outlineLevel="3" x14ac:dyDescent="0.25">
      <c r="A15" t="s">
        <v>1</v>
      </c>
      <c r="B15" s="2">
        <v>40939</v>
      </c>
      <c r="C15" s="2">
        <v>40939</v>
      </c>
      <c r="D15" s="2">
        <v>40984</v>
      </c>
      <c r="E15" s="2"/>
      <c r="F15" t="s">
        <v>2</v>
      </c>
      <c r="G15" s="3">
        <v>45</v>
      </c>
      <c r="H15" s="4">
        <v>30371</v>
      </c>
      <c r="I15" t="s">
        <v>3</v>
      </c>
      <c r="J15" s="6">
        <v>1400000000</v>
      </c>
      <c r="K15" t="s">
        <v>0</v>
      </c>
      <c r="L15" s="3">
        <v>3101</v>
      </c>
      <c r="M15" s="3">
        <v>3070</v>
      </c>
      <c r="N15" s="6">
        <v>140000</v>
      </c>
      <c r="O15" s="6">
        <v>1032</v>
      </c>
      <c r="P15">
        <v>-76</v>
      </c>
      <c r="Q15" t="s">
        <v>28</v>
      </c>
    </row>
    <row r="16" spans="1:17" ht="13.95" customHeight="1" outlineLevel="3" x14ac:dyDescent="0.25">
      <c r="A16" t="s">
        <v>1</v>
      </c>
      <c r="B16" s="2">
        <v>40939</v>
      </c>
      <c r="C16" s="2">
        <v>40939</v>
      </c>
      <c r="D16" s="2">
        <v>40984</v>
      </c>
      <c r="E16" s="2"/>
      <c r="F16" t="s">
        <v>2</v>
      </c>
      <c r="G16" s="3">
        <v>45</v>
      </c>
      <c r="H16" s="4">
        <v>23263.8</v>
      </c>
      <c r="I16" t="s">
        <v>3</v>
      </c>
      <c r="J16" s="6">
        <v>1400000001</v>
      </c>
      <c r="K16" t="s">
        <v>0</v>
      </c>
      <c r="L16" s="3">
        <v>3101</v>
      </c>
      <c r="M16" s="3">
        <v>3070</v>
      </c>
      <c r="N16" s="6">
        <v>140000</v>
      </c>
      <c r="O16" s="6">
        <v>1032</v>
      </c>
      <c r="P16">
        <v>-76</v>
      </c>
      <c r="Q16" t="s">
        <v>28</v>
      </c>
    </row>
    <row r="17" spans="1:17" ht="13.95" customHeight="1" outlineLevel="3" x14ac:dyDescent="0.25">
      <c r="A17" t="s">
        <v>1</v>
      </c>
      <c r="B17" s="2">
        <v>40939</v>
      </c>
      <c r="C17" s="2">
        <v>40939</v>
      </c>
      <c r="D17" s="2">
        <v>40984</v>
      </c>
      <c r="E17" s="2"/>
      <c r="F17" t="s">
        <v>2</v>
      </c>
      <c r="G17" s="3">
        <v>45</v>
      </c>
      <c r="H17" s="4">
        <v>40984.800000000003</v>
      </c>
      <c r="I17" t="s">
        <v>3</v>
      </c>
      <c r="J17" s="6">
        <v>1400000002</v>
      </c>
      <c r="K17" t="s">
        <v>0</v>
      </c>
      <c r="L17" s="3">
        <v>3101</v>
      </c>
      <c r="M17" s="3">
        <v>3070</v>
      </c>
      <c r="N17" s="6">
        <v>140000</v>
      </c>
      <c r="O17" s="6">
        <v>1032</v>
      </c>
      <c r="P17">
        <v>-76</v>
      </c>
      <c r="Q17" t="s">
        <v>28</v>
      </c>
    </row>
    <row r="18" spans="1:17" ht="13.95" customHeight="1" outlineLevel="3" x14ac:dyDescent="0.25">
      <c r="A18" t="s">
        <v>1</v>
      </c>
      <c r="B18" s="2">
        <v>40966</v>
      </c>
      <c r="C18" s="2">
        <v>40966</v>
      </c>
      <c r="D18" s="2">
        <v>41011</v>
      </c>
      <c r="E18" s="2"/>
      <c r="F18" t="s">
        <v>2</v>
      </c>
      <c r="G18" s="3">
        <v>45</v>
      </c>
      <c r="H18" s="4">
        <v>36445.199999999997</v>
      </c>
      <c r="I18" t="s">
        <v>3</v>
      </c>
      <c r="J18" s="6">
        <v>1400000009</v>
      </c>
      <c r="K18" t="s">
        <v>0</v>
      </c>
      <c r="L18" s="3">
        <v>3074</v>
      </c>
      <c r="M18" s="3">
        <v>3043</v>
      </c>
      <c r="N18" s="6">
        <v>140000</v>
      </c>
      <c r="O18" s="6">
        <v>1032</v>
      </c>
      <c r="P18">
        <v>-103</v>
      </c>
      <c r="Q18" t="s">
        <v>28</v>
      </c>
    </row>
    <row r="19" spans="1:17" ht="13.95" customHeight="1" outlineLevel="3" x14ac:dyDescent="0.25">
      <c r="A19" t="s">
        <v>1</v>
      </c>
      <c r="B19" s="2">
        <v>40966</v>
      </c>
      <c r="C19" s="2">
        <v>40966</v>
      </c>
      <c r="D19" s="2">
        <v>41011</v>
      </c>
      <c r="E19" s="2"/>
      <c r="F19" t="s">
        <v>2</v>
      </c>
      <c r="G19" s="3">
        <v>45</v>
      </c>
      <c r="H19" s="4">
        <v>29910.6</v>
      </c>
      <c r="I19" t="s">
        <v>3</v>
      </c>
      <c r="J19" s="6">
        <v>1400000010</v>
      </c>
      <c r="K19" t="s">
        <v>0</v>
      </c>
      <c r="L19" s="3">
        <v>3074</v>
      </c>
      <c r="M19" s="3">
        <v>3043</v>
      </c>
      <c r="N19" s="6">
        <v>140000</v>
      </c>
      <c r="O19" s="6">
        <v>1032</v>
      </c>
      <c r="P19">
        <v>-103</v>
      </c>
      <c r="Q19" t="s">
        <v>28</v>
      </c>
    </row>
    <row r="20" spans="1:17" ht="13.95" customHeight="1" outlineLevel="3" x14ac:dyDescent="0.25">
      <c r="A20" t="s">
        <v>1</v>
      </c>
      <c r="B20" s="2">
        <v>40966</v>
      </c>
      <c r="C20" s="2">
        <v>40966</v>
      </c>
      <c r="D20" s="2">
        <v>41011</v>
      </c>
      <c r="E20" s="2"/>
      <c r="F20" t="s">
        <v>2</v>
      </c>
      <c r="G20" s="3">
        <v>45</v>
      </c>
      <c r="H20" s="4">
        <v>37569.4</v>
      </c>
      <c r="I20" t="s">
        <v>3</v>
      </c>
      <c r="J20" s="6">
        <v>1400000011</v>
      </c>
      <c r="K20" t="s">
        <v>0</v>
      </c>
      <c r="L20" s="3">
        <v>3074</v>
      </c>
      <c r="M20" s="3">
        <v>3043</v>
      </c>
      <c r="N20" s="6">
        <v>140000</v>
      </c>
      <c r="O20" s="6">
        <v>1032</v>
      </c>
      <c r="P20">
        <v>-103</v>
      </c>
      <c r="Q20" t="s">
        <v>28</v>
      </c>
    </row>
    <row r="21" spans="1:17" ht="13.95" customHeight="1" outlineLevel="3" x14ac:dyDescent="0.25">
      <c r="A21" t="s">
        <v>1</v>
      </c>
      <c r="B21" s="2">
        <v>40973</v>
      </c>
      <c r="C21" s="2">
        <v>40973</v>
      </c>
      <c r="D21" s="2">
        <v>41018</v>
      </c>
      <c r="E21" s="2"/>
      <c r="F21" t="s">
        <v>2</v>
      </c>
      <c r="G21" s="3">
        <v>45</v>
      </c>
      <c r="H21" s="4">
        <v>45556.5</v>
      </c>
      <c r="I21" t="s">
        <v>3</v>
      </c>
      <c r="J21" s="6">
        <v>1400000018</v>
      </c>
      <c r="K21" t="s">
        <v>0</v>
      </c>
      <c r="L21" s="3">
        <v>3067</v>
      </c>
      <c r="M21" s="3">
        <v>3036</v>
      </c>
      <c r="N21" s="6">
        <v>140000</v>
      </c>
      <c r="O21" s="6">
        <v>1032</v>
      </c>
      <c r="P21">
        <v>-2329</v>
      </c>
      <c r="Q21" t="s">
        <v>28</v>
      </c>
    </row>
    <row r="22" spans="1:17" ht="13.95" customHeight="1" outlineLevel="3" x14ac:dyDescent="0.25">
      <c r="A22" t="s">
        <v>1</v>
      </c>
      <c r="B22" s="2">
        <v>40973</v>
      </c>
      <c r="C22" s="2">
        <v>40973</v>
      </c>
      <c r="D22" s="2">
        <v>41018</v>
      </c>
      <c r="E22" s="2"/>
      <c r="F22" t="s">
        <v>2</v>
      </c>
      <c r="G22" s="3">
        <v>45</v>
      </c>
      <c r="H22" s="4">
        <v>29910.6</v>
      </c>
      <c r="I22" t="s">
        <v>3</v>
      </c>
      <c r="J22" s="6">
        <v>1400000019</v>
      </c>
      <c r="K22" t="s">
        <v>0</v>
      </c>
      <c r="L22" s="3">
        <v>3067</v>
      </c>
      <c r="M22" s="3">
        <v>3036</v>
      </c>
      <c r="N22" s="6">
        <v>140000</v>
      </c>
      <c r="O22" s="6">
        <v>1032</v>
      </c>
      <c r="P22">
        <v>-110</v>
      </c>
      <c r="Q22" t="s">
        <v>28</v>
      </c>
    </row>
    <row r="23" spans="1:17" ht="13.95" customHeight="1" outlineLevel="3" x14ac:dyDescent="0.25">
      <c r="A23" t="s">
        <v>1</v>
      </c>
      <c r="B23" s="2">
        <v>40973</v>
      </c>
      <c r="C23" s="2">
        <v>40973</v>
      </c>
      <c r="D23" s="2">
        <v>41018</v>
      </c>
      <c r="E23" s="2"/>
      <c r="F23" t="s">
        <v>2</v>
      </c>
      <c r="G23" s="3">
        <v>45</v>
      </c>
      <c r="H23" s="4">
        <v>30738.6</v>
      </c>
      <c r="I23" t="s">
        <v>3</v>
      </c>
      <c r="J23" s="6">
        <v>1400000020</v>
      </c>
      <c r="K23" t="s">
        <v>0</v>
      </c>
      <c r="L23" s="3">
        <v>3067</v>
      </c>
      <c r="M23" s="3">
        <v>3036</v>
      </c>
      <c r="N23" s="6">
        <v>140000</v>
      </c>
      <c r="O23" s="6">
        <v>1032</v>
      </c>
      <c r="P23">
        <v>-110</v>
      </c>
      <c r="Q23" t="s">
        <v>28</v>
      </c>
    </row>
    <row r="24" spans="1:17" ht="13.95" customHeight="1" outlineLevel="3" x14ac:dyDescent="0.25">
      <c r="A24" t="s">
        <v>1</v>
      </c>
      <c r="B24" s="2">
        <v>41011</v>
      </c>
      <c r="C24" s="2">
        <v>41011</v>
      </c>
      <c r="D24" s="2">
        <v>41056</v>
      </c>
      <c r="E24" s="2"/>
      <c r="F24" t="s">
        <v>2</v>
      </c>
      <c r="G24" s="3">
        <v>45</v>
      </c>
      <c r="H24" s="4">
        <v>36445.199999999997</v>
      </c>
      <c r="I24" t="s">
        <v>3</v>
      </c>
      <c r="J24" s="6">
        <v>1400000027</v>
      </c>
      <c r="K24" t="s">
        <v>0</v>
      </c>
      <c r="L24" s="3">
        <v>3029</v>
      </c>
      <c r="M24" s="3">
        <v>2998</v>
      </c>
      <c r="N24" s="6">
        <v>140000</v>
      </c>
      <c r="O24" s="6">
        <v>1032</v>
      </c>
      <c r="P24">
        <v>-148</v>
      </c>
      <c r="Q24" t="s">
        <v>28</v>
      </c>
    </row>
    <row r="25" spans="1:17" ht="13.95" customHeight="1" outlineLevel="3" x14ac:dyDescent="0.25">
      <c r="A25" t="s">
        <v>1</v>
      </c>
      <c r="B25" s="2">
        <v>41011</v>
      </c>
      <c r="C25" s="2">
        <v>41011</v>
      </c>
      <c r="D25" s="2">
        <v>41056</v>
      </c>
      <c r="E25" s="2"/>
      <c r="F25" t="s">
        <v>2</v>
      </c>
      <c r="G25" s="3">
        <v>45</v>
      </c>
      <c r="H25" s="4">
        <v>36557.4</v>
      </c>
      <c r="I25" t="s">
        <v>3</v>
      </c>
      <c r="J25" s="6">
        <v>1400000028</v>
      </c>
      <c r="K25" t="s">
        <v>0</v>
      </c>
      <c r="L25" s="3">
        <v>3029</v>
      </c>
      <c r="M25" s="3">
        <v>2998</v>
      </c>
      <c r="N25" s="6">
        <v>140000</v>
      </c>
      <c r="O25" s="6">
        <v>1032</v>
      </c>
      <c r="P25">
        <v>-148</v>
      </c>
      <c r="Q25" t="s">
        <v>28</v>
      </c>
    </row>
    <row r="26" spans="1:17" ht="13.95" customHeight="1" outlineLevel="3" x14ac:dyDescent="0.25">
      <c r="A26" t="s">
        <v>1</v>
      </c>
      <c r="B26" s="2">
        <v>41011</v>
      </c>
      <c r="C26" s="2">
        <v>41011</v>
      </c>
      <c r="D26" s="2">
        <v>41056</v>
      </c>
      <c r="E26" s="2"/>
      <c r="F26" t="s">
        <v>2</v>
      </c>
      <c r="G26" s="3">
        <v>45</v>
      </c>
      <c r="H26" s="4">
        <v>23907.8</v>
      </c>
      <c r="I26" t="s">
        <v>3</v>
      </c>
      <c r="J26" s="6">
        <v>1400000029</v>
      </c>
      <c r="K26" t="s">
        <v>0</v>
      </c>
      <c r="L26" s="3">
        <v>3029</v>
      </c>
      <c r="M26" s="3">
        <v>2998</v>
      </c>
      <c r="N26" s="6">
        <v>140000</v>
      </c>
      <c r="O26" s="6">
        <v>1032</v>
      </c>
      <c r="P26">
        <v>-148</v>
      </c>
      <c r="Q26" t="s">
        <v>28</v>
      </c>
    </row>
    <row r="27" spans="1:17" ht="13.95" customHeight="1" outlineLevel="3" x14ac:dyDescent="0.25">
      <c r="A27" t="s">
        <v>1</v>
      </c>
      <c r="B27" s="2">
        <v>40791</v>
      </c>
      <c r="C27" s="2">
        <v>40791</v>
      </c>
      <c r="D27" s="2">
        <v>40836</v>
      </c>
      <c r="E27" s="2"/>
      <c r="F27" t="s">
        <v>2</v>
      </c>
      <c r="G27" s="3">
        <v>45</v>
      </c>
      <c r="H27" s="4">
        <v>44400.2</v>
      </c>
      <c r="I27" t="s">
        <v>3</v>
      </c>
      <c r="J27" s="6">
        <v>1400000076</v>
      </c>
      <c r="K27" t="s">
        <v>0</v>
      </c>
      <c r="L27" s="3">
        <v>3249</v>
      </c>
      <c r="M27" s="3">
        <v>3218</v>
      </c>
      <c r="N27" s="6">
        <v>140000</v>
      </c>
      <c r="O27" s="6">
        <v>1032</v>
      </c>
      <c r="P27">
        <v>72</v>
      </c>
      <c r="Q27" t="s">
        <v>29</v>
      </c>
    </row>
    <row r="28" spans="1:17" ht="13.95" customHeight="1" outlineLevel="3" x14ac:dyDescent="0.25">
      <c r="A28" t="s">
        <v>1</v>
      </c>
      <c r="B28" s="2">
        <v>40791</v>
      </c>
      <c r="C28" s="2">
        <v>40791</v>
      </c>
      <c r="D28" s="2">
        <v>40836</v>
      </c>
      <c r="E28" s="2"/>
      <c r="F28" t="s">
        <v>2</v>
      </c>
      <c r="G28" s="3">
        <v>45</v>
      </c>
      <c r="H28" s="4">
        <v>46527.6</v>
      </c>
      <c r="I28" t="s">
        <v>3</v>
      </c>
      <c r="J28" s="6">
        <v>1400000075</v>
      </c>
      <c r="K28" t="s">
        <v>0</v>
      </c>
      <c r="L28" s="3">
        <v>3249</v>
      </c>
      <c r="M28" s="3">
        <v>3218</v>
      </c>
      <c r="N28" s="6">
        <v>140000</v>
      </c>
      <c r="O28" s="6">
        <v>1032</v>
      </c>
      <c r="P28">
        <v>72</v>
      </c>
      <c r="Q28" t="s">
        <v>29</v>
      </c>
    </row>
    <row r="29" spans="1:17" ht="13.95" customHeight="1" outlineLevel="3" x14ac:dyDescent="0.25">
      <c r="A29" t="s">
        <v>1</v>
      </c>
      <c r="B29" s="2">
        <v>40791</v>
      </c>
      <c r="C29" s="2">
        <v>40791</v>
      </c>
      <c r="D29" s="2">
        <v>40836</v>
      </c>
      <c r="E29" s="2"/>
      <c r="F29" t="s">
        <v>2</v>
      </c>
      <c r="G29" s="3">
        <v>45</v>
      </c>
      <c r="H29" s="4">
        <v>18222.599999999999</v>
      </c>
      <c r="I29" t="s">
        <v>3</v>
      </c>
      <c r="J29" s="6">
        <v>1400000074</v>
      </c>
      <c r="K29" t="s">
        <v>0</v>
      </c>
      <c r="L29" s="3">
        <v>3249</v>
      </c>
      <c r="M29" s="3">
        <v>3218</v>
      </c>
      <c r="N29" s="6">
        <v>140000</v>
      </c>
      <c r="O29" s="6">
        <v>1032</v>
      </c>
      <c r="P29">
        <v>72</v>
      </c>
      <c r="Q29" t="s">
        <v>29</v>
      </c>
    </row>
    <row r="30" spans="1:17" ht="13.95" customHeight="1" outlineLevel="3" x14ac:dyDescent="0.25">
      <c r="A30" t="s">
        <v>1</v>
      </c>
      <c r="B30" s="2">
        <v>40777</v>
      </c>
      <c r="C30" s="2">
        <v>40777</v>
      </c>
      <c r="D30" s="2">
        <v>40822</v>
      </c>
      <c r="E30" s="2"/>
      <c r="F30" t="s">
        <v>2</v>
      </c>
      <c r="G30" s="3">
        <v>45</v>
      </c>
      <c r="H30" s="4">
        <v>37569.4</v>
      </c>
      <c r="I30" t="s">
        <v>3</v>
      </c>
      <c r="J30" s="6">
        <v>1400000067</v>
      </c>
      <c r="K30" t="s">
        <v>0</v>
      </c>
      <c r="L30" s="3">
        <v>3263</v>
      </c>
      <c r="M30" s="3">
        <v>3232</v>
      </c>
      <c r="N30" s="6">
        <v>140000</v>
      </c>
      <c r="O30" s="6">
        <v>1032</v>
      </c>
      <c r="P30">
        <v>86</v>
      </c>
      <c r="Q30" t="s">
        <v>29</v>
      </c>
    </row>
    <row r="31" spans="1:17" ht="13.95" customHeight="1" outlineLevel="3" x14ac:dyDescent="0.25">
      <c r="A31" t="s">
        <v>1</v>
      </c>
      <c r="B31" s="2">
        <v>40777</v>
      </c>
      <c r="C31" s="2">
        <v>40777</v>
      </c>
      <c r="D31" s="2">
        <v>40822</v>
      </c>
      <c r="E31" s="2"/>
      <c r="F31" t="s">
        <v>2</v>
      </c>
      <c r="G31" s="3">
        <v>45</v>
      </c>
      <c r="H31" s="4">
        <v>49851</v>
      </c>
      <c r="I31" t="s">
        <v>3</v>
      </c>
      <c r="J31" s="6">
        <v>1400000066</v>
      </c>
      <c r="K31" t="s">
        <v>0</v>
      </c>
      <c r="L31" s="3">
        <v>3263</v>
      </c>
      <c r="M31" s="3">
        <v>3232</v>
      </c>
      <c r="N31" s="6">
        <v>140000</v>
      </c>
      <c r="O31" s="6">
        <v>1032</v>
      </c>
      <c r="P31">
        <v>86</v>
      </c>
      <c r="Q31" t="s">
        <v>29</v>
      </c>
    </row>
    <row r="32" spans="1:17" ht="13.95" customHeight="1" outlineLevel="3" x14ac:dyDescent="0.25">
      <c r="A32" t="s">
        <v>1</v>
      </c>
      <c r="B32" s="2">
        <v>40777</v>
      </c>
      <c r="C32" s="2">
        <v>40777</v>
      </c>
      <c r="D32" s="2">
        <v>40822</v>
      </c>
      <c r="E32" s="2"/>
      <c r="F32" t="s">
        <v>2</v>
      </c>
      <c r="G32" s="3">
        <v>45</v>
      </c>
      <c r="H32" s="4">
        <v>15185.5</v>
      </c>
      <c r="I32" t="s">
        <v>3</v>
      </c>
      <c r="J32" s="6">
        <v>1400000065</v>
      </c>
      <c r="K32" t="s">
        <v>0</v>
      </c>
      <c r="L32" s="3">
        <v>3263</v>
      </c>
      <c r="M32" s="3">
        <v>3232</v>
      </c>
      <c r="N32" s="6">
        <v>140000</v>
      </c>
      <c r="O32" s="6">
        <v>1032</v>
      </c>
      <c r="P32">
        <v>86</v>
      </c>
      <c r="Q32" t="s">
        <v>29</v>
      </c>
    </row>
    <row r="33" spans="1:17" ht="13.95" customHeight="1" outlineLevel="3" x14ac:dyDescent="0.25">
      <c r="A33" t="s">
        <v>1</v>
      </c>
      <c r="B33" s="2">
        <v>40729</v>
      </c>
      <c r="C33" s="2">
        <v>40729</v>
      </c>
      <c r="D33" s="2">
        <v>40774</v>
      </c>
      <c r="E33" s="2"/>
      <c r="F33" t="s">
        <v>2</v>
      </c>
      <c r="G33" s="3">
        <v>45</v>
      </c>
      <c r="H33" s="4">
        <v>23907.8</v>
      </c>
      <c r="I33" t="s">
        <v>3</v>
      </c>
      <c r="J33" s="6">
        <v>1400000058</v>
      </c>
      <c r="K33" t="s">
        <v>0</v>
      </c>
      <c r="L33" s="3">
        <v>3311</v>
      </c>
      <c r="M33" s="3">
        <v>3280</v>
      </c>
      <c r="N33" s="6">
        <v>140000</v>
      </c>
      <c r="O33" s="6">
        <v>1032</v>
      </c>
      <c r="P33">
        <v>134</v>
      </c>
      <c r="Q33" t="s">
        <v>30</v>
      </c>
    </row>
    <row r="34" spans="1:17" ht="13.95" customHeight="1" outlineLevel="3" x14ac:dyDescent="0.25">
      <c r="A34" t="s">
        <v>1</v>
      </c>
      <c r="B34" s="2">
        <v>40729</v>
      </c>
      <c r="C34" s="2">
        <v>40729</v>
      </c>
      <c r="D34" s="2">
        <v>40774</v>
      </c>
      <c r="E34" s="2"/>
      <c r="F34" t="s">
        <v>2</v>
      </c>
      <c r="G34" s="3">
        <v>45</v>
      </c>
      <c r="H34" s="4">
        <v>49851</v>
      </c>
      <c r="I34" t="s">
        <v>3</v>
      </c>
      <c r="J34" s="6">
        <v>1400000057</v>
      </c>
      <c r="K34" t="s">
        <v>0</v>
      </c>
      <c r="L34" s="3">
        <v>3311</v>
      </c>
      <c r="M34" s="3">
        <v>3280</v>
      </c>
      <c r="N34" s="6">
        <v>140000</v>
      </c>
      <c r="O34" s="6">
        <v>1032</v>
      </c>
      <c r="P34">
        <v>134</v>
      </c>
      <c r="Q34" t="s">
        <v>30</v>
      </c>
    </row>
    <row r="35" spans="1:17" ht="13.95" customHeight="1" outlineLevel="3" x14ac:dyDescent="0.25">
      <c r="A35" t="s">
        <v>1</v>
      </c>
      <c r="B35" s="2">
        <v>40729</v>
      </c>
      <c r="C35" s="2">
        <v>40729</v>
      </c>
      <c r="D35" s="2">
        <v>40774</v>
      </c>
      <c r="E35" s="2"/>
      <c r="F35" t="s">
        <v>2</v>
      </c>
      <c r="G35" s="3">
        <v>45</v>
      </c>
      <c r="H35" s="4">
        <v>18222.599999999999</v>
      </c>
      <c r="I35" t="s">
        <v>3</v>
      </c>
      <c r="J35" s="6">
        <v>1400000056</v>
      </c>
      <c r="K35" t="s">
        <v>0</v>
      </c>
      <c r="L35" s="3">
        <v>3311</v>
      </c>
      <c r="M35" s="3">
        <v>3280</v>
      </c>
      <c r="N35" s="6">
        <v>140000</v>
      </c>
      <c r="O35" s="6">
        <v>1032</v>
      </c>
      <c r="P35">
        <v>134</v>
      </c>
      <c r="Q35" t="s">
        <v>30</v>
      </c>
    </row>
    <row r="36" spans="1:17" ht="13.95" customHeight="1" outlineLevel="3" x14ac:dyDescent="0.25">
      <c r="A36" t="s">
        <v>1</v>
      </c>
      <c r="B36" s="2">
        <v>40702</v>
      </c>
      <c r="C36" s="2">
        <v>40702</v>
      </c>
      <c r="D36" s="2">
        <v>40747</v>
      </c>
      <c r="E36" s="2"/>
      <c r="F36" t="s">
        <v>2</v>
      </c>
      <c r="G36" s="3">
        <v>45</v>
      </c>
      <c r="H36" s="4">
        <v>17077</v>
      </c>
      <c r="I36" t="s">
        <v>3</v>
      </c>
      <c r="J36" s="6">
        <v>1400000048</v>
      </c>
      <c r="K36" t="s">
        <v>0</v>
      </c>
      <c r="L36" s="3">
        <v>3338</v>
      </c>
      <c r="M36" s="3">
        <v>3307</v>
      </c>
      <c r="N36" s="6">
        <v>140000</v>
      </c>
      <c r="O36" s="6">
        <v>1032</v>
      </c>
      <c r="P36">
        <v>161</v>
      </c>
      <c r="Q36" t="s">
        <v>30</v>
      </c>
    </row>
    <row r="37" spans="1:17" ht="13.95" customHeight="1" outlineLevel="3" x14ac:dyDescent="0.25">
      <c r="A37" t="s">
        <v>1</v>
      </c>
      <c r="B37" s="2">
        <v>40702</v>
      </c>
      <c r="C37" s="2">
        <v>40702</v>
      </c>
      <c r="D37" s="2">
        <v>40747</v>
      </c>
      <c r="E37" s="2"/>
      <c r="F37" t="s">
        <v>2</v>
      </c>
      <c r="G37" s="3">
        <v>45</v>
      </c>
      <c r="H37" s="4">
        <v>53174.400000000001</v>
      </c>
      <c r="I37" t="s">
        <v>3</v>
      </c>
      <c r="J37" s="6">
        <v>1400000047</v>
      </c>
      <c r="K37" t="s">
        <v>0</v>
      </c>
      <c r="L37" s="3">
        <v>3338</v>
      </c>
      <c r="M37" s="3">
        <v>3307</v>
      </c>
      <c r="N37" s="6">
        <v>140000</v>
      </c>
      <c r="O37" s="6">
        <v>1032</v>
      </c>
      <c r="P37">
        <v>161</v>
      </c>
      <c r="Q37" t="s">
        <v>30</v>
      </c>
    </row>
    <row r="38" spans="1:17" ht="13.95" customHeight="1" outlineLevel="3" x14ac:dyDescent="0.25">
      <c r="A38" t="s">
        <v>1</v>
      </c>
      <c r="B38" s="2">
        <v>40702</v>
      </c>
      <c r="C38" s="2">
        <v>40702</v>
      </c>
      <c r="D38" s="2">
        <v>40747</v>
      </c>
      <c r="E38" s="2"/>
      <c r="F38" t="s">
        <v>2</v>
      </c>
      <c r="G38" s="3">
        <v>45</v>
      </c>
      <c r="H38" s="4">
        <v>27333.9</v>
      </c>
      <c r="I38" t="s">
        <v>3</v>
      </c>
      <c r="J38" s="6">
        <v>1400000046</v>
      </c>
      <c r="K38" t="s">
        <v>0</v>
      </c>
      <c r="L38" s="3">
        <v>3338</v>
      </c>
      <c r="M38" s="3">
        <v>3307</v>
      </c>
      <c r="N38" s="6">
        <v>140000</v>
      </c>
      <c r="O38" s="6">
        <v>1032</v>
      </c>
      <c r="P38">
        <v>161</v>
      </c>
      <c r="Q38" t="s">
        <v>30</v>
      </c>
    </row>
    <row r="39" spans="1:17" ht="13.95" customHeight="1" outlineLevel="3" x14ac:dyDescent="0.25">
      <c r="A39" t="s">
        <v>1</v>
      </c>
      <c r="B39" s="2">
        <v>40674</v>
      </c>
      <c r="C39" s="2">
        <v>40674</v>
      </c>
      <c r="D39" s="2">
        <v>40719</v>
      </c>
      <c r="E39" s="2"/>
      <c r="F39" t="s">
        <v>2</v>
      </c>
      <c r="G39" s="3">
        <v>45</v>
      </c>
      <c r="H39" s="4">
        <v>20492.400000000001</v>
      </c>
      <c r="I39" t="s">
        <v>3</v>
      </c>
      <c r="J39" s="6">
        <v>1400000039</v>
      </c>
      <c r="K39" t="s">
        <v>0</v>
      </c>
      <c r="L39" s="3">
        <v>3366</v>
      </c>
      <c r="M39" s="3">
        <v>3335</v>
      </c>
      <c r="N39" s="6">
        <v>140000</v>
      </c>
      <c r="O39" s="6">
        <v>1032</v>
      </c>
      <c r="P39">
        <v>189</v>
      </c>
      <c r="Q39" t="s">
        <v>31</v>
      </c>
    </row>
    <row r="40" spans="1:17" ht="13.95" customHeight="1" outlineLevel="3" x14ac:dyDescent="0.25">
      <c r="A40" t="s">
        <v>1</v>
      </c>
      <c r="B40" s="2">
        <v>40674</v>
      </c>
      <c r="C40" s="2">
        <v>40674</v>
      </c>
      <c r="D40" s="2">
        <v>40719</v>
      </c>
      <c r="E40" s="2"/>
      <c r="F40" t="s">
        <v>2</v>
      </c>
      <c r="G40" s="3">
        <v>45</v>
      </c>
      <c r="H40" s="4">
        <v>43204.2</v>
      </c>
      <c r="I40" t="s">
        <v>3</v>
      </c>
      <c r="J40" s="6">
        <v>1400000038</v>
      </c>
      <c r="K40" t="s">
        <v>0</v>
      </c>
      <c r="L40" s="3">
        <v>3366</v>
      </c>
      <c r="M40" s="3">
        <v>3335</v>
      </c>
      <c r="N40" s="6">
        <v>140000</v>
      </c>
      <c r="O40" s="6">
        <v>1032</v>
      </c>
      <c r="P40">
        <v>189</v>
      </c>
      <c r="Q40" t="s">
        <v>31</v>
      </c>
    </row>
    <row r="41" spans="1:17" ht="13.95" customHeight="1" outlineLevel="3" x14ac:dyDescent="0.25">
      <c r="A41" t="s">
        <v>1</v>
      </c>
      <c r="B41" s="2">
        <v>40674</v>
      </c>
      <c r="C41" s="2">
        <v>40674</v>
      </c>
      <c r="D41" s="2">
        <v>40719</v>
      </c>
      <c r="E41" s="2"/>
      <c r="F41" t="s">
        <v>2</v>
      </c>
      <c r="G41" s="3">
        <v>45</v>
      </c>
      <c r="H41" s="4">
        <v>36445.199999999997</v>
      </c>
      <c r="I41" t="s">
        <v>3</v>
      </c>
      <c r="J41" s="6">
        <v>1400000037</v>
      </c>
      <c r="K41" t="s">
        <v>0</v>
      </c>
      <c r="L41" s="3">
        <v>3366</v>
      </c>
      <c r="M41" s="3">
        <v>3335</v>
      </c>
      <c r="N41" s="6">
        <v>140000</v>
      </c>
      <c r="O41" s="6">
        <v>1032</v>
      </c>
      <c r="P41">
        <v>189</v>
      </c>
      <c r="Q41" t="s">
        <v>31</v>
      </c>
    </row>
    <row r="42" spans="1:17" ht="13.95" customHeight="1" outlineLevel="3" x14ac:dyDescent="0.25">
      <c r="A42" t="s">
        <v>1</v>
      </c>
      <c r="B42" s="2">
        <v>40637</v>
      </c>
      <c r="C42" s="2">
        <v>40637</v>
      </c>
      <c r="D42" s="2">
        <v>40682</v>
      </c>
      <c r="E42" s="2"/>
      <c r="F42" t="s">
        <v>2</v>
      </c>
      <c r="G42" s="3">
        <v>45</v>
      </c>
      <c r="H42" s="4">
        <v>23907.8</v>
      </c>
      <c r="I42" t="s">
        <v>3</v>
      </c>
      <c r="J42" s="6">
        <v>1400000029</v>
      </c>
      <c r="K42" t="s">
        <v>0</v>
      </c>
      <c r="L42" s="3">
        <v>3403</v>
      </c>
      <c r="M42" s="3">
        <v>3372</v>
      </c>
      <c r="N42" s="6">
        <v>140000</v>
      </c>
      <c r="O42" s="6">
        <v>1032</v>
      </c>
      <c r="P42">
        <v>-148</v>
      </c>
      <c r="Q42" t="s">
        <v>28</v>
      </c>
    </row>
    <row r="43" spans="1:17" ht="13.95" customHeight="1" outlineLevel="3" x14ac:dyDescent="0.25">
      <c r="A43" t="s">
        <v>1</v>
      </c>
      <c r="B43" s="2">
        <v>40637</v>
      </c>
      <c r="C43" s="2">
        <v>40637</v>
      </c>
      <c r="D43" s="2">
        <v>40682</v>
      </c>
      <c r="E43" s="2"/>
      <c r="F43" t="s">
        <v>2</v>
      </c>
      <c r="G43" s="3">
        <v>45</v>
      </c>
      <c r="H43" s="4">
        <v>36557.4</v>
      </c>
      <c r="I43" t="s">
        <v>3</v>
      </c>
      <c r="J43" s="6">
        <v>1400000028</v>
      </c>
      <c r="K43" t="s">
        <v>0</v>
      </c>
      <c r="L43" s="3">
        <v>3403</v>
      </c>
      <c r="M43" s="3">
        <v>3372</v>
      </c>
      <c r="N43" s="6">
        <v>140000</v>
      </c>
      <c r="O43" s="6">
        <v>1032</v>
      </c>
      <c r="P43">
        <v>-148</v>
      </c>
      <c r="Q43" t="s">
        <v>28</v>
      </c>
    </row>
    <row r="44" spans="1:17" ht="13.95" customHeight="1" outlineLevel="3" x14ac:dyDescent="0.25">
      <c r="A44" t="s">
        <v>1</v>
      </c>
      <c r="B44" s="2">
        <v>40637</v>
      </c>
      <c r="C44" s="2">
        <v>40637</v>
      </c>
      <c r="D44" s="2">
        <v>40682</v>
      </c>
      <c r="E44" s="2"/>
      <c r="F44" t="s">
        <v>2</v>
      </c>
      <c r="G44" s="3">
        <v>45</v>
      </c>
      <c r="H44" s="4">
        <v>36445.199999999997</v>
      </c>
      <c r="I44" t="s">
        <v>3</v>
      </c>
      <c r="J44" s="6">
        <v>1400000027</v>
      </c>
      <c r="K44" t="s">
        <v>0</v>
      </c>
      <c r="L44" s="3">
        <v>3403</v>
      </c>
      <c r="M44" s="3">
        <v>3372</v>
      </c>
      <c r="N44" s="6">
        <v>140000</v>
      </c>
      <c r="O44" s="6">
        <v>1032</v>
      </c>
      <c r="P44">
        <v>-148</v>
      </c>
      <c r="Q44" t="s">
        <v>28</v>
      </c>
    </row>
    <row r="45" spans="1:17" ht="13.95" customHeight="1" outlineLevel="3" x14ac:dyDescent="0.25">
      <c r="A45" t="s">
        <v>1</v>
      </c>
      <c r="B45" s="2">
        <v>40610</v>
      </c>
      <c r="C45" s="2">
        <v>40610</v>
      </c>
      <c r="D45" s="2">
        <v>40655</v>
      </c>
      <c r="E45" s="2"/>
      <c r="F45" t="s">
        <v>2</v>
      </c>
      <c r="G45" s="3">
        <v>45</v>
      </c>
      <c r="H45" s="4">
        <v>30738.6</v>
      </c>
      <c r="I45" t="s">
        <v>3</v>
      </c>
      <c r="J45" s="6">
        <v>1400000020</v>
      </c>
      <c r="K45" t="s">
        <v>0</v>
      </c>
      <c r="L45" s="3">
        <v>3430</v>
      </c>
      <c r="M45" s="3">
        <v>3399</v>
      </c>
      <c r="N45" s="6">
        <v>140000</v>
      </c>
      <c r="O45" s="6">
        <v>1032</v>
      </c>
      <c r="P45">
        <v>-110</v>
      </c>
      <c r="Q45" t="s">
        <v>28</v>
      </c>
    </row>
    <row r="46" spans="1:17" ht="13.95" customHeight="1" outlineLevel="3" x14ac:dyDescent="0.25">
      <c r="A46" t="s">
        <v>1</v>
      </c>
      <c r="B46" s="2">
        <v>40610</v>
      </c>
      <c r="C46" s="2">
        <v>40610</v>
      </c>
      <c r="D46" s="2">
        <v>40655</v>
      </c>
      <c r="E46" s="2"/>
      <c r="F46" t="s">
        <v>2</v>
      </c>
      <c r="G46" s="3">
        <v>45</v>
      </c>
      <c r="H46" s="4">
        <v>29910.6</v>
      </c>
      <c r="I46" t="s">
        <v>3</v>
      </c>
      <c r="J46" s="6">
        <v>1400000019</v>
      </c>
      <c r="K46" t="s">
        <v>0</v>
      </c>
      <c r="L46" s="3">
        <v>3430</v>
      </c>
      <c r="M46" s="3">
        <v>3399</v>
      </c>
      <c r="N46" s="6">
        <v>140000</v>
      </c>
      <c r="O46" s="6">
        <v>1032</v>
      </c>
      <c r="P46">
        <v>-110</v>
      </c>
      <c r="Q46" t="s">
        <v>28</v>
      </c>
    </row>
    <row r="47" spans="1:17" ht="13.95" customHeight="1" outlineLevel="3" x14ac:dyDescent="0.25">
      <c r="A47" t="s">
        <v>1</v>
      </c>
      <c r="B47" s="2">
        <v>40610</v>
      </c>
      <c r="C47" s="2">
        <v>40610</v>
      </c>
      <c r="D47" s="2">
        <v>40655</v>
      </c>
      <c r="E47" s="2"/>
      <c r="F47" t="s">
        <v>2</v>
      </c>
      <c r="G47" s="3">
        <v>45</v>
      </c>
      <c r="H47" s="4">
        <v>45556.5</v>
      </c>
      <c r="I47" t="s">
        <v>3</v>
      </c>
      <c r="J47" s="6">
        <v>1400000018</v>
      </c>
      <c r="K47" t="s">
        <v>0</v>
      </c>
      <c r="L47" s="3">
        <v>3430</v>
      </c>
      <c r="M47" s="3">
        <v>3399</v>
      </c>
      <c r="N47" s="6">
        <v>140000</v>
      </c>
      <c r="O47" s="6">
        <v>1032</v>
      </c>
      <c r="P47">
        <v>-2329</v>
      </c>
      <c r="Q47" t="s">
        <v>28</v>
      </c>
    </row>
    <row r="48" spans="1:17" ht="13.95" customHeight="1" outlineLevel="3" x14ac:dyDescent="0.25">
      <c r="A48" t="s">
        <v>1</v>
      </c>
      <c r="B48" s="2">
        <v>41448</v>
      </c>
      <c r="C48" s="2">
        <v>41448</v>
      </c>
      <c r="D48" s="2">
        <v>41493</v>
      </c>
      <c r="E48" s="2"/>
      <c r="F48" t="s">
        <v>2</v>
      </c>
      <c r="G48" s="3">
        <v>45</v>
      </c>
      <c r="H48" s="4">
        <v>17077</v>
      </c>
      <c r="I48" t="s">
        <v>3</v>
      </c>
      <c r="J48" s="6">
        <v>1400000047</v>
      </c>
      <c r="K48" t="s">
        <v>0</v>
      </c>
      <c r="L48" s="3">
        <v>2592</v>
      </c>
      <c r="M48" s="3">
        <v>2561</v>
      </c>
      <c r="N48" s="6">
        <v>140000</v>
      </c>
      <c r="O48" s="6">
        <v>1032</v>
      </c>
      <c r="P48">
        <v>161</v>
      </c>
      <c r="Q48" t="s">
        <v>30</v>
      </c>
    </row>
    <row r="49" spans="1:17" ht="13.95" customHeight="1" outlineLevel="3" x14ac:dyDescent="0.25">
      <c r="A49" t="s">
        <v>1</v>
      </c>
      <c r="B49" s="2">
        <v>41448</v>
      </c>
      <c r="C49" s="2">
        <v>41448</v>
      </c>
      <c r="D49" s="2">
        <v>41493</v>
      </c>
      <c r="E49" s="2"/>
      <c r="F49" t="s">
        <v>2</v>
      </c>
      <c r="G49" s="3">
        <v>45</v>
      </c>
      <c r="H49" s="4">
        <v>53174.400000000001</v>
      </c>
      <c r="I49" t="s">
        <v>3</v>
      </c>
      <c r="J49" s="6">
        <v>1400000046</v>
      </c>
      <c r="K49" t="s">
        <v>0</v>
      </c>
      <c r="L49" s="3">
        <v>2592</v>
      </c>
      <c r="M49" s="3">
        <v>2561</v>
      </c>
      <c r="N49" s="6">
        <v>140000</v>
      </c>
      <c r="O49" s="6">
        <v>1032</v>
      </c>
      <c r="P49">
        <v>161</v>
      </c>
      <c r="Q49" t="s">
        <v>30</v>
      </c>
    </row>
    <row r="50" spans="1:17" ht="13.95" customHeight="1" outlineLevel="3" x14ac:dyDescent="0.25">
      <c r="A50" t="s">
        <v>1</v>
      </c>
      <c r="B50" s="2">
        <v>41448</v>
      </c>
      <c r="C50" s="2">
        <v>41448</v>
      </c>
      <c r="D50" s="2">
        <v>41493</v>
      </c>
      <c r="E50" s="2"/>
      <c r="F50" t="s">
        <v>2</v>
      </c>
      <c r="G50" s="3">
        <v>45</v>
      </c>
      <c r="H50" s="4">
        <v>27333.9</v>
      </c>
      <c r="I50" t="s">
        <v>3</v>
      </c>
      <c r="J50" s="6">
        <v>1400000045</v>
      </c>
      <c r="K50" t="s">
        <v>0</v>
      </c>
      <c r="L50" s="3">
        <v>2592</v>
      </c>
      <c r="M50" s="3">
        <v>2561</v>
      </c>
      <c r="N50" s="6">
        <v>140000</v>
      </c>
      <c r="O50" s="6">
        <v>1032</v>
      </c>
      <c r="P50">
        <v>-585</v>
      </c>
      <c r="Q50" t="s">
        <v>28</v>
      </c>
    </row>
    <row r="51" spans="1:17" ht="13.95" customHeight="1" outlineLevel="3" x14ac:dyDescent="0.25">
      <c r="A51" t="s">
        <v>1</v>
      </c>
      <c r="B51" s="2">
        <v>41395</v>
      </c>
      <c r="C51" s="2">
        <v>41395</v>
      </c>
      <c r="D51" s="2">
        <v>41440</v>
      </c>
      <c r="E51" s="2"/>
      <c r="F51" t="s">
        <v>2</v>
      </c>
      <c r="G51" s="3">
        <v>45</v>
      </c>
      <c r="H51" s="4">
        <v>20492.400000000001</v>
      </c>
      <c r="I51" t="s">
        <v>3</v>
      </c>
      <c r="J51" s="6">
        <v>1400000038</v>
      </c>
      <c r="K51" t="s">
        <v>0</v>
      </c>
      <c r="L51" s="3">
        <v>2645</v>
      </c>
      <c r="M51" s="3">
        <v>2614</v>
      </c>
      <c r="N51" s="6">
        <v>140000</v>
      </c>
      <c r="O51" s="6">
        <v>1032</v>
      </c>
      <c r="P51">
        <v>189</v>
      </c>
      <c r="Q51" t="s">
        <v>31</v>
      </c>
    </row>
    <row r="52" spans="1:17" ht="13.95" customHeight="1" outlineLevel="3" x14ac:dyDescent="0.25">
      <c r="A52" t="s">
        <v>1</v>
      </c>
      <c r="B52" s="2">
        <v>41395</v>
      </c>
      <c r="C52" s="2">
        <v>41395</v>
      </c>
      <c r="D52" s="2">
        <v>41440</v>
      </c>
      <c r="E52" s="2"/>
      <c r="F52" t="s">
        <v>2</v>
      </c>
      <c r="G52" s="3">
        <v>45</v>
      </c>
      <c r="H52" s="4">
        <v>43204.2</v>
      </c>
      <c r="I52" t="s">
        <v>3</v>
      </c>
      <c r="J52" s="6">
        <v>1400000037</v>
      </c>
      <c r="K52" t="s">
        <v>0</v>
      </c>
      <c r="L52" s="3">
        <v>2645</v>
      </c>
      <c r="M52" s="3">
        <v>2614</v>
      </c>
      <c r="N52" s="6">
        <v>140000</v>
      </c>
      <c r="O52" s="6">
        <v>1032</v>
      </c>
      <c r="P52">
        <v>189</v>
      </c>
      <c r="Q52" t="s">
        <v>31</v>
      </c>
    </row>
    <row r="53" spans="1:17" ht="13.95" customHeight="1" outlineLevel="3" x14ac:dyDescent="0.25">
      <c r="A53" t="s">
        <v>1</v>
      </c>
      <c r="B53" s="2">
        <v>41395</v>
      </c>
      <c r="C53" s="2">
        <v>41395</v>
      </c>
      <c r="D53" s="2">
        <v>41440</v>
      </c>
      <c r="E53" s="2"/>
      <c r="F53" t="s">
        <v>2</v>
      </c>
      <c r="G53" s="3">
        <v>45</v>
      </c>
      <c r="H53" s="4">
        <v>36445.199999999997</v>
      </c>
      <c r="I53" t="s">
        <v>3</v>
      </c>
      <c r="J53" s="6">
        <v>1400000036</v>
      </c>
      <c r="K53" t="s">
        <v>0</v>
      </c>
      <c r="L53" s="3">
        <v>2645</v>
      </c>
      <c r="M53" s="3">
        <v>2614</v>
      </c>
      <c r="N53" s="6">
        <v>140000</v>
      </c>
      <c r="O53" s="6">
        <v>1032</v>
      </c>
      <c r="P53">
        <v>-532</v>
      </c>
      <c r="Q53" t="s">
        <v>28</v>
      </c>
    </row>
    <row r="54" spans="1:17" ht="13.95" customHeight="1" outlineLevel="3" x14ac:dyDescent="0.25">
      <c r="A54" t="s">
        <v>1</v>
      </c>
      <c r="B54" s="2">
        <v>41378</v>
      </c>
      <c r="C54" s="2">
        <v>41378</v>
      </c>
      <c r="D54" s="2">
        <v>41423</v>
      </c>
      <c r="E54" s="2"/>
      <c r="F54" t="s">
        <v>2</v>
      </c>
      <c r="G54" s="3">
        <v>45</v>
      </c>
      <c r="H54" s="4">
        <v>23907.8</v>
      </c>
      <c r="I54" t="s">
        <v>3</v>
      </c>
      <c r="J54" s="6">
        <v>1400000029</v>
      </c>
      <c r="K54" t="s">
        <v>0</v>
      </c>
      <c r="L54" s="3">
        <v>2662</v>
      </c>
      <c r="M54" s="3">
        <v>2631</v>
      </c>
      <c r="N54" s="6">
        <v>140000</v>
      </c>
      <c r="O54" s="6">
        <v>1032</v>
      </c>
      <c r="P54">
        <v>-148</v>
      </c>
      <c r="Q54" t="s">
        <v>28</v>
      </c>
    </row>
    <row r="55" spans="1:17" ht="13.95" customHeight="1" outlineLevel="3" x14ac:dyDescent="0.25">
      <c r="A55" t="s">
        <v>1</v>
      </c>
      <c r="B55" s="2">
        <v>41378</v>
      </c>
      <c r="C55" s="2">
        <v>41378</v>
      </c>
      <c r="D55" s="2">
        <v>41423</v>
      </c>
      <c r="E55" s="2"/>
      <c r="F55" t="s">
        <v>2</v>
      </c>
      <c r="G55" s="3">
        <v>45</v>
      </c>
      <c r="H55" s="4">
        <v>36557.4</v>
      </c>
      <c r="I55" t="s">
        <v>3</v>
      </c>
      <c r="J55" s="6">
        <v>1400000028</v>
      </c>
      <c r="K55" t="s">
        <v>0</v>
      </c>
      <c r="L55" s="3">
        <v>2662</v>
      </c>
      <c r="M55" s="3">
        <v>2631</v>
      </c>
      <c r="N55" s="6">
        <v>140000</v>
      </c>
      <c r="O55" s="6">
        <v>1032</v>
      </c>
      <c r="P55">
        <v>-148</v>
      </c>
      <c r="Q55" t="s">
        <v>28</v>
      </c>
    </row>
    <row r="56" spans="1:17" ht="13.95" customHeight="1" outlineLevel="3" x14ac:dyDescent="0.25">
      <c r="A56" t="s">
        <v>1</v>
      </c>
      <c r="B56" s="2">
        <v>41378</v>
      </c>
      <c r="C56" s="2">
        <v>41378</v>
      </c>
      <c r="D56" s="2">
        <v>41423</v>
      </c>
      <c r="E56" s="2"/>
      <c r="F56" t="s">
        <v>2</v>
      </c>
      <c r="G56" s="3">
        <v>45</v>
      </c>
      <c r="H56" s="4">
        <v>36445.199999999997</v>
      </c>
      <c r="I56" t="s">
        <v>3</v>
      </c>
      <c r="J56" s="6">
        <v>1400000027</v>
      </c>
      <c r="K56" t="s">
        <v>0</v>
      </c>
      <c r="L56" s="3">
        <v>2662</v>
      </c>
      <c r="M56" s="3">
        <v>2631</v>
      </c>
      <c r="N56" s="6">
        <v>140000</v>
      </c>
      <c r="O56" s="6">
        <v>1032</v>
      </c>
      <c r="P56">
        <v>-148</v>
      </c>
      <c r="Q56" t="s">
        <v>28</v>
      </c>
    </row>
    <row r="57" spans="1:17" ht="13.95" customHeight="1" outlineLevel="3" x14ac:dyDescent="0.25">
      <c r="A57" t="s">
        <v>1</v>
      </c>
      <c r="B57" s="2">
        <v>41358</v>
      </c>
      <c r="C57" s="2">
        <v>41358</v>
      </c>
      <c r="D57" s="2">
        <v>41403</v>
      </c>
      <c r="E57" s="2"/>
      <c r="F57" t="s">
        <v>2</v>
      </c>
      <c r="G57" s="3">
        <v>45</v>
      </c>
      <c r="H57" s="4">
        <v>30738.6</v>
      </c>
      <c r="I57" t="s">
        <v>3</v>
      </c>
      <c r="J57" s="6">
        <v>1400000020</v>
      </c>
      <c r="K57" t="s">
        <v>0</v>
      </c>
      <c r="L57" s="3">
        <v>2682</v>
      </c>
      <c r="M57" s="3">
        <v>2651</v>
      </c>
      <c r="N57" s="6">
        <v>140000</v>
      </c>
      <c r="O57" s="6">
        <v>1032</v>
      </c>
      <c r="P57">
        <v>-110</v>
      </c>
      <c r="Q57" t="s">
        <v>28</v>
      </c>
    </row>
    <row r="58" spans="1:17" ht="13.95" customHeight="1" outlineLevel="3" x14ac:dyDescent="0.25">
      <c r="A58" t="s">
        <v>1</v>
      </c>
      <c r="B58" s="2">
        <v>41358</v>
      </c>
      <c r="C58" s="2">
        <v>41358</v>
      </c>
      <c r="D58" s="2">
        <v>41403</v>
      </c>
      <c r="E58" s="2"/>
      <c r="F58" t="s">
        <v>2</v>
      </c>
      <c r="G58" s="3">
        <v>45</v>
      </c>
      <c r="H58" s="4">
        <v>29910.6</v>
      </c>
      <c r="I58" t="s">
        <v>3</v>
      </c>
      <c r="J58" s="6">
        <v>1400000019</v>
      </c>
      <c r="K58" t="s">
        <v>0</v>
      </c>
      <c r="L58" s="3">
        <v>2682</v>
      </c>
      <c r="M58" s="3">
        <v>2651</v>
      </c>
      <c r="N58" s="6">
        <v>140000</v>
      </c>
      <c r="O58" s="6">
        <v>1032</v>
      </c>
      <c r="P58">
        <v>-110</v>
      </c>
      <c r="Q58" t="s">
        <v>28</v>
      </c>
    </row>
    <row r="59" spans="1:17" ht="13.95" customHeight="1" outlineLevel="3" x14ac:dyDescent="0.25">
      <c r="A59" t="s">
        <v>1</v>
      </c>
      <c r="B59" s="2">
        <v>41358</v>
      </c>
      <c r="C59" s="2">
        <v>41358</v>
      </c>
      <c r="D59" s="2">
        <v>41403</v>
      </c>
      <c r="E59" s="2"/>
      <c r="F59" t="s">
        <v>2</v>
      </c>
      <c r="G59" s="3">
        <v>45</v>
      </c>
      <c r="H59" s="4">
        <v>45556.5</v>
      </c>
      <c r="I59" t="s">
        <v>3</v>
      </c>
      <c r="J59" s="6">
        <v>1400000018</v>
      </c>
      <c r="K59" t="s">
        <v>0</v>
      </c>
      <c r="L59" s="3">
        <v>2682</v>
      </c>
      <c r="M59" s="3">
        <v>2651</v>
      </c>
      <c r="N59" s="6">
        <v>140000</v>
      </c>
      <c r="O59" s="6">
        <v>1032</v>
      </c>
      <c r="P59">
        <v>-2329</v>
      </c>
      <c r="Q59" t="s">
        <v>28</v>
      </c>
    </row>
    <row r="60" spans="1:17" ht="13.95" customHeight="1" outlineLevel="3" x14ac:dyDescent="0.25">
      <c r="A60" t="s">
        <v>1</v>
      </c>
      <c r="B60" s="2">
        <v>41318</v>
      </c>
      <c r="C60" s="2">
        <v>41318</v>
      </c>
      <c r="D60" s="2">
        <v>41363</v>
      </c>
      <c r="E60" s="2"/>
      <c r="F60" t="s">
        <v>2</v>
      </c>
      <c r="G60" s="3">
        <v>45</v>
      </c>
      <c r="H60" s="4">
        <v>37569.4</v>
      </c>
      <c r="I60" t="s">
        <v>3</v>
      </c>
      <c r="J60" s="6">
        <v>1400000011</v>
      </c>
      <c r="K60" t="s">
        <v>0</v>
      </c>
      <c r="L60" s="3">
        <v>2722</v>
      </c>
      <c r="M60" s="3">
        <v>2691</v>
      </c>
      <c r="N60" s="6">
        <v>140000</v>
      </c>
      <c r="O60" s="6">
        <v>1032</v>
      </c>
      <c r="P60">
        <v>-103</v>
      </c>
      <c r="Q60" t="s">
        <v>28</v>
      </c>
    </row>
    <row r="61" spans="1:17" ht="13.95" customHeight="1" outlineLevel="3" x14ac:dyDescent="0.25">
      <c r="A61" t="s">
        <v>1</v>
      </c>
      <c r="B61" s="2">
        <v>41318</v>
      </c>
      <c r="C61" s="2">
        <v>41318</v>
      </c>
      <c r="D61" s="2">
        <v>41363</v>
      </c>
      <c r="E61" s="2"/>
      <c r="F61" t="s">
        <v>2</v>
      </c>
      <c r="G61" s="3">
        <v>45</v>
      </c>
      <c r="H61" s="4">
        <v>29910.6</v>
      </c>
      <c r="I61" t="s">
        <v>3</v>
      </c>
      <c r="J61" s="6">
        <v>1400000010</v>
      </c>
      <c r="K61" t="s">
        <v>0</v>
      </c>
      <c r="L61" s="3">
        <v>2722</v>
      </c>
      <c r="M61" s="3">
        <v>2691</v>
      </c>
      <c r="N61" s="6">
        <v>140000</v>
      </c>
      <c r="O61" s="6">
        <v>1032</v>
      </c>
      <c r="P61">
        <v>-103</v>
      </c>
      <c r="Q61" t="s">
        <v>28</v>
      </c>
    </row>
    <row r="62" spans="1:17" ht="13.95" customHeight="1" outlineLevel="3" x14ac:dyDescent="0.25">
      <c r="A62" t="s">
        <v>1</v>
      </c>
      <c r="B62" s="2">
        <v>41318</v>
      </c>
      <c r="C62" s="2">
        <v>41318</v>
      </c>
      <c r="D62" s="2">
        <v>41363</v>
      </c>
      <c r="E62" s="2"/>
      <c r="F62" t="s">
        <v>2</v>
      </c>
      <c r="G62" s="3">
        <v>45</v>
      </c>
      <c r="H62" s="4">
        <v>36445.199999999997</v>
      </c>
      <c r="I62" t="s">
        <v>3</v>
      </c>
      <c r="J62" s="6">
        <v>1400000009</v>
      </c>
      <c r="K62" t="s">
        <v>0</v>
      </c>
      <c r="L62" s="3">
        <v>2722</v>
      </c>
      <c r="M62" s="3">
        <v>2691</v>
      </c>
      <c r="N62" s="6">
        <v>140000</v>
      </c>
      <c r="O62" s="6">
        <v>1032</v>
      </c>
      <c r="P62">
        <v>-103</v>
      </c>
      <c r="Q62" t="s">
        <v>28</v>
      </c>
    </row>
    <row r="63" spans="1:17" ht="13.95" customHeight="1" outlineLevel="3" x14ac:dyDescent="0.25">
      <c r="A63" t="s">
        <v>1</v>
      </c>
      <c r="B63" s="2">
        <v>41300</v>
      </c>
      <c r="C63" s="2">
        <v>41300</v>
      </c>
      <c r="D63" s="2">
        <v>41345</v>
      </c>
      <c r="E63" s="2"/>
      <c r="F63" t="s">
        <v>2</v>
      </c>
      <c r="G63" s="3">
        <v>45</v>
      </c>
      <c r="H63" s="4">
        <v>40984.800000000003</v>
      </c>
      <c r="I63" t="s">
        <v>3</v>
      </c>
      <c r="J63" s="6">
        <v>1400000002</v>
      </c>
      <c r="K63" t="s">
        <v>0</v>
      </c>
      <c r="L63" s="3">
        <v>2740</v>
      </c>
      <c r="M63" s="3">
        <v>2709</v>
      </c>
      <c r="N63" s="6">
        <v>140000</v>
      </c>
      <c r="O63" s="6">
        <v>1032</v>
      </c>
      <c r="P63">
        <v>-76</v>
      </c>
      <c r="Q63" t="s">
        <v>28</v>
      </c>
    </row>
    <row r="64" spans="1:17" ht="13.95" customHeight="1" outlineLevel="3" x14ac:dyDescent="0.25">
      <c r="A64" t="s">
        <v>1</v>
      </c>
      <c r="B64" s="2">
        <v>41300</v>
      </c>
      <c r="C64" s="2">
        <v>41300</v>
      </c>
      <c r="D64" s="2">
        <v>41345</v>
      </c>
      <c r="E64" s="2"/>
      <c r="F64" t="s">
        <v>2</v>
      </c>
      <c r="G64" s="3">
        <v>45</v>
      </c>
      <c r="H64" s="4">
        <v>23263.8</v>
      </c>
      <c r="I64" t="s">
        <v>3</v>
      </c>
      <c r="J64" s="6">
        <v>1400000001</v>
      </c>
      <c r="K64" t="s">
        <v>0</v>
      </c>
      <c r="L64" s="3">
        <v>2740</v>
      </c>
      <c r="M64" s="3">
        <v>2709</v>
      </c>
      <c r="N64" s="6">
        <v>140000</v>
      </c>
      <c r="O64" s="6">
        <v>1032</v>
      </c>
      <c r="P64">
        <v>-76</v>
      </c>
      <c r="Q64" t="s">
        <v>28</v>
      </c>
    </row>
    <row r="65" spans="1:17" ht="13.95" customHeight="1" outlineLevel="3" x14ac:dyDescent="0.25">
      <c r="A65" t="s">
        <v>1</v>
      </c>
      <c r="B65" s="2">
        <v>41300</v>
      </c>
      <c r="C65" s="2">
        <v>41300</v>
      </c>
      <c r="D65" s="2">
        <v>41345</v>
      </c>
      <c r="E65" s="2"/>
      <c r="F65" t="s">
        <v>2</v>
      </c>
      <c r="G65" s="3">
        <v>45</v>
      </c>
      <c r="H65" s="4">
        <v>30371</v>
      </c>
      <c r="I65" t="s">
        <v>3</v>
      </c>
      <c r="J65" s="6">
        <v>1400000000</v>
      </c>
      <c r="K65" t="s">
        <v>0</v>
      </c>
      <c r="L65" s="3">
        <v>2740</v>
      </c>
      <c r="M65" s="3">
        <v>2709</v>
      </c>
      <c r="N65" s="6">
        <v>140000</v>
      </c>
      <c r="O65" s="6">
        <v>1032</v>
      </c>
      <c r="P65">
        <v>-76</v>
      </c>
      <c r="Q65" t="s">
        <v>28</v>
      </c>
    </row>
    <row r="66" spans="1:17" ht="13.95" customHeight="1" outlineLevel="3" x14ac:dyDescent="0.25">
      <c r="A66" t="s">
        <v>1</v>
      </c>
      <c r="B66" s="2">
        <v>41269</v>
      </c>
      <c r="C66" s="2">
        <v>41269</v>
      </c>
      <c r="D66" s="2">
        <v>41314</v>
      </c>
      <c r="E66" s="2"/>
      <c r="F66" t="s">
        <v>2</v>
      </c>
      <c r="G66" s="3">
        <v>45</v>
      </c>
      <c r="H66" s="4">
        <v>44400.2</v>
      </c>
      <c r="I66" t="s">
        <v>3</v>
      </c>
      <c r="J66" s="6">
        <v>1400000116</v>
      </c>
      <c r="K66" t="s">
        <v>0</v>
      </c>
      <c r="L66" s="3">
        <v>2771</v>
      </c>
      <c r="M66" s="3">
        <v>2740</v>
      </c>
      <c r="N66" s="6">
        <v>140000</v>
      </c>
      <c r="O66" s="6">
        <v>1032</v>
      </c>
      <c r="P66">
        <v>-406</v>
      </c>
      <c r="Q66" t="s">
        <v>28</v>
      </c>
    </row>
    <row r="67" spans="1:17" ht="13.95" customHeight="1" outlineLevel="3" x14ac:dyDescent="0.25">
      <c r="A67" t="s">
        <v>1</v>
      </c>
      <c r="B67" s="2">
        <v>41269</v>
      </c>
      <c r="C67" s="2">
        <v>41269</v>
      </c>
      <c r="D67" s="2">
        <v>41314</v>
      </c>
      <c r="E67" s="2"/>
      <c r="F67" t="s">
        <v>2</v>
      </c>
      <c r="G67" s="3">
        <v>45</v>
      </c>
      <c r="H67" s="4">
        <v>29910.6</v>
      </c>
      <c r="I67" t="s">
        <v>3</v>
      </c>
      <c r="J67" s="6">
        <v>1400000115</v>
      </c>
      <c r="K67" t="s">
        <v>0</v>
      </c>
      <c r="L67" s="3">
        <v>2771</v>
      </c>
      <c r="M67" s="3">
        <v>2740</v>
      </c>
      <c r="N67" s="6">
        <v>140000</v>
      </c>
      <c r="O67" s="6">
        <v>1032</v>
      </c>
      <c r="P67">
        <v>-406</v>
      </c>
      <c r="Q67" t="s">
        <v>28</v>
      </c>
    </row>
    <row r="68" spans="1:17" ht="13.95" customHeight="1" outlineLevel="3" x14ac:dyDescent="0.25">
      <c r="A68" t="s">
        <v>1</v>
      </c>
      <c r="B68" s="2">
        <v>41269</v>
      </c>
      <c r="C68" s="2">
        <v>41269</v>
      </c>
      <c r="D68" s="2">
        <v>41314</v>
      </c>
      <c r="E68" s="2"/>
      <c r="F68" t="s">
        <v>2</v>
      </c>
      <c r="G68" s="3">
        <v>45</v>
      </c>
      <c r="H68" s="4">
        <v>33408.1</v>
      </c>
      <c r="I68" t="s">
        <v>3</v>
      </c>
      <c r="J68" s="6">
        <v>1400000114</v>
      </c>
      <c r="K68" t="s">
        <v>0</v>
      </c>
      <c r="L68" s="3">
        <v>2771</v>
      </c>
      <c r="M68" s="3">
        <v>2740</v>
      </c>
      <c r="N68" s="6">
        <v>140000</v>
      </c>
      <c r="O68" s="6">
        <v>1032</v>
      </c>
      <c r="P68">
        <v>-406</v>
      </c>
      <c r="Q68" t="s">
        <v>28</v>
      </c>
    </row>
    <row r="69" spans="1:17" ht="13.95" customHeight="1" outlineLevel="3" x14ac:dyDescent="0.25">
      <c r="A69" t="s">
        <v>1</v>
      </c>
      <c r="B69" s="2">
        <v>41226</v>
      </c>
      <c r="C69" s="2">
        <v>41226</v>
      </c>
      <c r="D69" s="2">
        <v>41271</v>
      </c>
      <c r="E69" s="2"/>
      <c r="F69" t="s">
        <v>2</v>
      </c>
      <c r="G69" s="3">
        <v>45</v>
      </c>
      <c r="H69" s="4">
        <v>47815.6</v>
      </c>
      <c r="I69" t="s">
        <v>3</v>
      </c>
      <c r="J69" s="6">
        <v>1400000107</v>
      </c>
      <c r="K69" t="s">
        <v>0</v>
      </c>
      <c r="L69" s="3">
        <v>2814</v>
      </c>
      <c r="M69" s="3">
        <v>2783</v>
      </c>
      <c r="N69" s="6">
        <v>140000</v>
      </c>
      <c r="O69" s="6">
        <v>1032</v>
      </c>
      <c r="P69">
        <v>-363</v>
      </c>
      <c r="Q69" t="s">
        <v>28</v>
      </c>
    </row>
    <row r="70" spans="1:17" ht="13.95" customHeight="1" outlineLevel="3" x14ac:dyDescent="0.25">
      <c r="A70" t="s">
        <v>1</v>
      </c>
      <c r="B70" s="2">
        <v>41226</v>
      </c>
      <c r="C70" s="2">
        <v>41226</v>
      </c>
      <c r="D70" s="2">
        <v>41271</v>
      </c>
      <c r="E70" s="2"/>
      <c r="F70" t="s">
        <v>2</v>
      </c>
      <c r="G70" s="3">
        <v>45</v>
      </c>
      <c r="H70" s="4">
        <v>33234</v>
      </c>
      <c r="I70" t="s">
        <v>3</v>
      </c>
      <c r="J70" s="6">
        <v>1400000106</v>
      </c>
      <c r="K70" t="s">
        <v>0</v>
      </c>
      <c r="L70" s="3">
        <v>2814</v>
      </c>
      <c r="M70" s="3">
        <v>2783</v>
      </c>
      <c r="N70" s="6">
        <v>140000</v>
      </c>
      <c r="O70" s="6">
        <v>1032</v>
      </c>
      <c r="P70">
        <v>-363</v>
      </c>
      <c r="Q70" t="s">
        <v>28</v>
      </c>
    </row>
    <row r="71" spans="1:17" ht="13.95" customHeight="1" outlineLevel="3" x14ac:dyDescent="0.25">
      <c r="A71" t="s">
        <v>1</v>
      </c>
      <c r="B71" s="2">
        <v>41226</v>
      </c>
      <c r="C71" s="2">
        <v>41226</v>
      </c>
      <c r="D71" s="2">
        <v>41271</v>
      </c>
      <c r="E71" s="2"/>
      <c r="F71" t="s">
        <v>2</v>
      </c>
      <c r="G71" s="3">
        <v>45</v>
      </c>
      <c r="H71" s="4">
        <v>27333.9</v>
      </c>
      <c r="I71" t="s">
        <v>3</v>
      </c>
      <c r="J71" s="6">
        <v>1400000105</v>
      </c>
      <c r="K71" t="s">
        <v>0</v>
      </c>
      <c r="L71" s="3">
        <v>2814</v>
      </c>
      <c r="M71" s="3">
        <v>2783</v>
      </c>
      <c r="N71" s="6">
        <v>140000</v>
      </c>
      <c r="O71" s="6">
        <v>1032</v>
      </c>
      <c r="P71">
        <v>-363</v>
      </c>
      <c r="Q71" t="s">
        <v>28</v>
      </c>
    </row>
    <row r="72" spans="1:17" ht="13.95" customHeight="1" outlineLevel="3" x14ac:dyDescent="0.25">
      <c r="A72" t="s">
        <v>1</v>
      </c>
      <c r="B72" s="2">
        <v>41187</v>
      </c>
      <c r="C72" s="2">
        <v>41187</v>
      </c>
      <c r="D72" s="2">
        <v>41232</v>
      </c>
      <c r="E72" s="2"/>
      <c r="F72" t="s">
        <v>2</v>
      </c>
      <c r="G72" s="3">
        <v>45</v>
      </c>
      <c r="H72" s="4">
        <v>51231</v>
      </c>
      <c r="I72" t="s">
        <v>3</v>
      </c>
      <c r="J72" s="6">
        <v>1400000098</v>
      </c>
      <c r="K72" t="s">
        <v>0</v>
      </c>
      <c r="L72" s="3">
        <v>2853</v>
      </c>
      <c r="M72" s="3">
        <v>2822</v>
      </c>
      <c r="N72" s="6">
        <v>140000</v>
      </c>
      <c r="O72" s="6">
        <v>1032</v>
      </c>
      <c r="P72">
        <v>-324</v>
      </c>
      <c r="Q72" t="s">
        <v>28</v>
      </c>
    </row>
    <row r="73" spans="1:17" ht="13.95" customHeight="1" outlineLevel="3" x14ac:dyDescent="0.25">
      <c r="A73" t="s">
        <v>1</v>
      </c>
      <c r="B73" s="2">
        <v>41187</v>
      </c>
      <c r="C73" s="2">
        <v>41187</v>
      </c>
      <c r="D73" s="2">
        <v>41232</v>
      </c>
      <c r="E73" s="2"/>
      <c r="F73" t="s">
        <v>2</v>
      </c>
      <c r="G73" s="3">
        <v>45</v>
      </c>
      <c r="H73" s="4">
        <v>36557.4</v>
      </c>
      <c r="I73" t="s">
        <v>3</v>
      </c>
      <c r="J73" s="6">
        <v>1400000097</v>
      </c>
      <c r="K73" t="s">
        <v>0</v>
      </c>
      <c r="L73" s="3">
        <v>2853</v>
      </c>
      <c r="M73" s="3">
        <v>2822</v>
      </c>
      <c r="N73" s="6">
        <v>140000</v>
      </c>
      <c r="O73" s="6">
        <v>1032</v>
      </c>
      <c r="P73">
        <v>-324</v>
      </c>
      <c r="Q73" t="s">
        <v>28</v>
      </c>
    </row>
    <row r="74" spans="1:17" ht="13.95" customHeight="1" outlineLevel="3" x14ac:dyDescent="0.25">
      <c r="A74" t="s">
        <v>1</v>
      </c>
      <c r="B74" s="2">
        <v>41187</v>
      </c>
      <c r="C74" s="2">
        <v>41187</v>
      </c>
      <c r="D74" s="2">
        <v>41232</v>
      </c>
      <c r="E74" s="2"/>
      <c r="F74" t="s">
        <v>2</v>
      </c>
      <c r="G74" s="3">
        <v>45</v>
      </c>
      <c r="H74" s="4">
        <v>21259.7</v>
      </c>
      <c r="I74" t="s">
        <v>3</v>
      </c>
      <c r="J74" s="6">
        <v>1400000096</v>
      </c>
      <c r="K74" t="s">
        <v>0</v>
      </c>
      <c r="L74" s="3">
        <v>2853</v>
      </c>
      <c r="M74" s="3">
        <v>2822</v>
      </c>
      <c r="N74" s="6">
        <v>140000</v>
      </c>
      <c r="O74" s="6">
        <v>1032</v>
      </c>
      <c r="P74">
        <v>-324</v>
      </c>
      <c r="Q74" t="s">
        <v>28</v>
      </c>
    </row>
    <row r="75" spans="1:17" ht="13.95" customHeight="1" outlineLevel="3" x14ac:dyDescent="0.25">
      <c r="A75" t="s">
        <v>1</v>
      </c>
      <c r="B75" s="2">
        <v>41157</v>
      </c>
      <c r="C75" s="2">
        <v>41157</v>
      </c>
      <c r="D75" s="2">
        <v>41202</v>
      </c>
      <c r="E75" s="2"/>
      <c r="F75" t="s">
        <v>2</v>
      </c>
      <c r="G75" s="3">
        <v>45</v>
      </c>
      <c r="H75" s="4">
        <v>44400.2</v>
      </c>
      <c r="I75" t="s">
        <v>3</v>
      </c>
      <c r="J75" s="6">
        <v>1400000089</v>
      </c>
      <c r="K75" t="s">
        <v>0</v>
      </c>
      <c r="L75" s="3">
        <v>2883</v>
      </c>
      <c r="M75" s="3">
        <v>2852</v>
      </c>
      <c r="N75" s="6">
        <v>140000</v>
      </c>
      <c r="O75" s="6">
        <v>1032</v>
      </c>
      <c r="P75">
        <v>-294</v>
      </c>
      <c r="Q75" t="s">
        <v>28</v>
      </c>
    </row>
    <row r="76" spans="1:17" ht="13.95" customHeight="1" outlineLevel="3" x14ac:dyDescent="0.25">
      <c r="A76" t="s">
        <v>1</v>
      </c>
      <c r="B76" s="2">
        <v>41157</v>
      </c>
      <c r="C76" s="2">
        <v>41157</v>
      </c>
      <c r="D76" s="2">
        <v>41202</v>
      </c>
      <c r="E76" s="2"/>
      <c r="F76" t="s">
        <v>2</v>
      </c>
      <c r="G76" s="3">
        <v>45</v>
      </c>
      <c r="H76" s="4">
        <v>46527.6</v>
      </c>
      <c r="I76" t="s">
        <v>3</v>
      </c>
      <c r="J76" s="6">
        <v>1400000088</v>
      </c>
      <c r="K76" t="s">
        <v>0</v>
      </c>
      <c r="L76" s="3">
        <v>2883</v>
      </c>
      <c r="M76" s="3">
        <v>2852</v>
      </c>
      <c r="N76" s="6">
        <v>140000</v>
      </c>
      <c r="O76" s="6">
        <v>1032</v>
      </c>
      <c r="P76">
        <v>-2364</v>
      </c>
      <c r="Q76" t="s">
        <v>28</v>
      </c>
    </row>
    <row r="77" spans="1:17" ht="13.95" customHeight="1" outlineLevel="3" x14ac:dyDescent="0.25">
      <c r="A77" t="s">
        <v>1</v>
      </c>
      <c r="B77" s="2">
        <v>41157</v>
      </c>
      <c r="C77" s="2">
        <v>41157</v>
      </c>
      <c r="D77" s="2">
        <v>41202</v>
      </c>
      <c r="E77" s="2"/>
      <c r="F77" t="s">
        <v>2</v>
      </c>
      <c r="G77" s="3">
        <v>45</v>
      </c>
      <c r="H77" s="4">
        <v>18222.599999999999</v>
      </c>
      <c r="I77" t="s">
        <v>3</v>
      </c>
      <c r="J77" s="6">
        <v>1400000087</v>
      </c>
      <c r="K77" t="s">
        <v>0</v>
      </c>
      <c r="L77" s="3">
        <v>2883</v>
      </c>
      <c r="M77" s="3">
        <v>2852</v>
      </c>
      <c r="N77" s="6">
        <v>140000</v>
      </c>
      <c r="O77" s="6">
        <v>1032</v>
      </c>
      <c r="P77">
        <v>-294</v>
      </c>
      <c r="Q77" t="s">
        <v>28</v>
      </c>
    </row>
    <row r="78" spans="1:17" ht="13.95" customHeight="1" outlineLevel="3" x14ac:dyDescent="0.25">
      <c r="A78" t="s">
        <v>1</v>
      </c>
      <c r="B78" s="2">
        <v>41149</v>
      </c>
      <c r="C78" s="2">
        <v>41149</v>
      </c>
      <c r="D78" s="2">
        <v>41194</v>
      </c>
      <c r="E78" s="2"/>
      <c r="F78" t="s">
        <v>2</v>
      </c>
      <c r="G78" s="3">
        <v>45</v>
      </c>
      <c r="H78" s="4">
        <v>37569.4</v>
      </c>
      <c r="I78" t="s">
        <v>3</v>
      </c>
      <c r="J78" s="6">
        <v>1400000080</v>
      </c>
      <c r="K78" t="s">
        <v>0</v>
      </c>
      <c r="L78" s="3">
        <v>2891</v>
      </c>
      <c r="M78" s="3">
        <v>2860</v>
      </c>
      <c r="N78" s="6">
        <v>140000</v>
      </c>
      <c r="O78" s="6">
        <v>1032</v>
      </c>
      <c r="P78">
        <v>-286</v>
      </c>
      <c r="Q78" t="s">
        <v>28</v>
      </c>
    </row>
    <row r="79" spans="1:17" ht="13.95" customHeight="1" outlineLevel="3" x14ac:dyDescent="0.25">
      <c r="A79" t="s">
        <v>1</v>
      </c>
      <c r="B79" s="2">
        <v>41149</v>
      </c>
      <c r="C79" s="2">
        <v>41149</v>
      </c>
      <c r="D79" s="2">
        <v>41194</v>
      </c>
      <c r="E79" s="2"/>
      <c r="F79" t="s">
        <v>2</v>
      </c>
      <c r="G79" s="3">
        <v>45</v>
      </c>
      <c r="H79" s="4">
        <v>49851</v>
      </c>
      <c r="I79" t="s">
        <v>3</v>
      </c>
      <c r="J79" s="6">
        <v>1400000079</v>
      </c>
      <c r="K79" t="s">
        <v>0</v>
      </c>
      <c r="L79" s="3">
        <v>2891</v>
      </c>
      <c r="M79" s="3">
        <v>2860</v>
      </c>
      <c r="N79" s="6">
        <v>140000</v>
      </c>
      <c r="O79" s="6">
        <v>1032</v>
      </c>
      <c r="P79">
        <v>-286</v>
      </c>
      <c r="Q79" t="s">
        <v>28</v>
      </c>
    </row>
    <row r="80" spans="1:17" ht="13.95" customHeight="1" outlineLevel="3" x14ac:dyDescent="0.25">
      <c r="A80" t="s">
        <v>1</v>
      </c>
      <c r="B80" s="2">
        <v>41149</v>
      </c>
      <c r="C80" s="2">
        <v>41149</v>
      </c>
      <c r="D80" s="2">
        <v>41194</v>
      </c>
      <c r="E80" s="2"/>
      <c r="F80" t="s">
        <v>2</v>
      </c>
      <c r="G80" s="3">
        <v>45</v>
      </c>
      <c r="H80" s="4">
        <v>15185.5</v>
      </c>
      <c r="I80" t="s">
        <v>3</v>
      </c>
      <c r="J80" s="6">
        <v>1400000078</v>
      </c>
      <c r="K80" t="s">
        <v>0</v>
      </c>
      <c r="L80" s="3">
        <v>2891</v>
      </c>
      <c r="M80" s="3">
        <v>2860</v>
      </c>
      <c r="N80" s="6">
        <v>140000</v>
      </c>
      <c r="O80" s="6">
        <v>1032</v>
      </c>
      <c r="P80">
        <v>-286</v>
      </c>
      <c r="Q80" t="s">
        <v>28</v>
      </c>
    </row>
    <row r="81" spans="1:17" ht="13.95" customHeight="1" outlineLevel="3" x14ac:dyDescent="0.25">
      <c r="A81" t="s">
        <v>1</v>
      </c>
      <c r="B81" s="2">
        <v>41095</v>
      </c>
      <c r="C81" s="2">
        <v>41095</v>
      </c>
      <c r="D81" s="2">
        <v>41140</v>
      </c>
      <c r="E81" s="2"/>
      <c r="F81" t="s">
        <v>2</v>
      </c>
      <c r="G81" s="3">
        <v>45</v>
      </c>
      <c r="H81" s="4">
        <v>23907.8</v>
      </c>
      <c r="I81" t="s">
        <v>3</v>
      </c>
      <c r="J81" s="6">
        <v>1400000056</v>
      </c>
      <c r="K81" t="s">
        <v>0</v>
      </c>
      <c r="L81" s="3">
        <v>2945</v>
      </c>
      <c r="M81" s="3">
        <v>2914</v>
      </c>
      <c r="N81" s="6">
        <v>140000</v>
      </c>
      <c r="O81" s="6">
        <v>1032</v>
      </c>
      <c r="P81">
        <v>134</v>
      </c>
      <c r="Q81" t="s">
        <v>30</v>
      </c>
    </row>
    <row r="82" spans="1:17" ht="13.95" customHeight="1" outlineLevel="3" x14ac:dyDescent="0.25">
      <c r="A82" t="s">
        <v>1</v>
      </c>
      <c r="B82" s="2">
        <v>41095</v>
      </c>
      <c r="C82" s="2">
        <v>41095</v>
      </c>
      <c r="D82" s="2">
        <v>41140</v>
      </c>
      <c r="E82" s="2"/>
      <c r="F82" t="s">
        <v>2</v>
      </c>
      <c r="G82" s="3">
        <v>45</v>
      </c>
      <c r="H82" s="4">
        <v>49851</v>
      </c>
      <c r="I82" t="s">
        <v>3</v>
      </c>
      <c r="J82" s="6">
        <v>1400000055</v>
      </c>
      <c r="K82" t="s">
        <v>0</v>
      </c>
      <c r="L82" s="3">
        <v>2945</v>
      </c>
      <c r="M82" s="3">
        <v>2914</v>
      </c>
      <c r="N82" s="6">
        <v>140000</v>
      </c>
      <c r="O82" s="6">
        <v>1032</v>
      </c>
      <c r="P82">
        <v>-232</v>
      </c>
      <c r="Q82" t="s">
        <v>28</v>
      </c>
    </row>
    <row r="83" spans="1:17" ht="13.95" customHeight="1" outlineLevel="3" x14ac:dyDescent="0.25">
      <c r="A83" t="s">
        <v>1</v>
      </c>
      <c r="B83" s="2">
        <v>41095</v>
      </c>
      <c r="C83" s="2">
        <v>41095</v>
      </c>
      <c r="D83" s="2">
        <v>41140</v>
      </c>
      <c r="E83" s="2"/>
      <c r="F83" t="s">
        <v>2</v>
      </c>
      <c r="G83" s="3">
        <v>45</v>
      </c>
      <c r="H83" s="4">
        <v>18222.599999999999</v>
      </c>
      <c r="I83" t="s">
        <v>3</v>
      </c>
      <c r="J83" s="6">
        <v>1400000054</v>
      </c>
      <c r="K83" t="s">
        <v>0</v>
      </c>
      <c r="L83" s="3">
        <v>2945</v>
      </c>
      <c r="M83" s="3">
        <v>2914</v>
      </c>
      <c r="N83" s="6">
        <v>140000</v>
      </c>
      <c r="O83" s="6">
        <v>1032</v>
      </c>
      <c r="P83">
        <v>-2358</v>
      </c>
      <c r="Q83" t="s">
        <v>28</v>
      </c>
    </row>
    <row r="84" spans="1:17" ht="13.95" customHeight="1" outlineLevel="3" x14ac:dyDescent="0.25">
      <c r="A84" t="s">
        <v>1</v>
      </c>
      <c r="B84" s="2">
        <v>41072</v>
      </c>
      <c r="C84" s="2">
        <v>41072</v>
      </c>
      <c r="D84" s="2">
        <v>41117</v>
      </c>
      <c r="E84" s="2"/>
      <c r="F84" t="s">
        <v>2</v>
      </c>
      <c r="G84" s="3">
        <v>45</v>
      </c>
      <c r="H84" s="4">
        <v>17077</v>
      </c>
      <c r="I84" t="s">
        <v>3</v>
      </c>
      <c r="J84" s="6">
        <v>1400000047</v>
      </c>
      <c r="K84" t="s">
        <v>0</v>
      </c>
      <c r="L84" s="3">
        <v>2968</v>
      </c>
      <c r="M84" s="3">
        <v>2937</v>
      </c>
      <c r="N84" s="6">
        <v>140000</v>
      </c>
      <c r="O84" s="6">
        <v>1032</v>
      </c>
      <c r="P84">
        <v>161</v>
      </c>
      <c r="Q84" t="s">
        <v>30</v>
      </c>
    </row>
    <row r="85" spans="1:17" ht="13.95" customHeight="1" outlineLevel="3" x14ac:dyDescent="0.25">
      <c r="A85" t="s">
        <v>1</v>
      </c>
      <c r="B85" s="2">
        <v>41072</v>
      </c>
      <c r="C85" s="2">
        <v>41072</v>
      </c>
      <c r="D85" s="2">
        <v>41117</v>
      </c>
      <c r="E85" s="2"/>
      <c r="F85" t="s">
        <v>2</v>
      </c>
      <c r="G85" s="3">
        <v>45</v>
      </c>
      <c r="H85" s="4">
        <v>53174.400000000001</v>
      </c>
      <c r="I85" t="s">
        <v>3</v>
      </c>
      <c r="J85" s="6">
        <v>1400000046</v>
      </c>
      <c r="K85" t="s">
        <v>0</v>
      </c>
      <c r="L85" s="3">
        <v>2968</v>
      </c>
      <c r="M85" s="3">
        <v>2937</v>
      </c>
      <c r="N85" s="6">
        <v>140000</v>
      </c>
      <c r="O85" s="6">
        <v>1032</v>
      </c>
      <c r="P85">
        <v>161</v>
      </c>
      <c r="Q85" t="s">
        <v>30</v>
      </c>
    </row>
    <row r="86" spans="1:17" ht="13.95" customHeight="1" outlineLevel="3" x14ac:dyDescent="0.25">
      <c r="A86" t="s">
        <v>1</v>
      </c>
      <c r="B86" s="2">
        <v>41072</v>
      </c>
      <c r="C86" s="2">
        <v>41072</v>
      </c>
      <c r="D86" s="2">
        <v>41117</v>
      </c>
      <c r="E86" s="2"/>
      <c r="F86" t="s">
        <v>2</v>
      </c>
      <c r="G86" s="3">
        <v>45</v>
      </c>
      <c r="H86" s="4">
        <v>27333.9</v>
      </c>
      <c r="I86" t="s">
        <v>3</v>
      </c>
      <c r="J86" s="6">
        <v>1400000045</v>
      </c>
      <c r="K86" t="s">
        <v>0</v>
      </c>
      <c r="L86" s="3">
        <v>2968</v>
      </c>
      <c r="M86" s="3">
        <v>2937</v>
      </c>
      <c r="N86" s="6">
        <v>140000</v>
      </c>
      <c r="O86" s="6">
        <v>1032</v>
      </c>
      <c r="P86">
        <v>-585</v>
      </c>
      <c r="Q86" t="s">
        <v>28</v>
      </c>
    </row>
    <row r="87" spans="1:17" ht="13.95" customHeight="1" outlineLevel="3" x14ac:dyDescent="0.25">
      <c r="A87" t="s">
        <v>1</v>
      </c>
      <c r="B87" s="2">
        <v>41050</v>
      </c>
      <c r="C87" s="2">
        <v>41050</v>
      </c>
      <c r="D87" s="2">
        <v>41095</v>
      </c>
      <c r="E87" s="2"/>
      <c r="F87" t="s">
        <v>2</v>
      </c>
      <c r="G87" s="3">
        <v>45</v>
      </c>
      <c r="H87" s="4">
        <v>20492.400000000001</v>
      </c>
      <c r="I87" t="s">
        <v>3</v>
      </c>
      <c r="J87" s="6">
        <v>1400000038</v>
      </c>
      <c r="K87" t="s">
        <v>0</v>
      </c>
      <c r="L87" s="3">
        <v>2990</v>
      </c>
      <c r="M87" s="3">
        <v>2959</v>
      </c>
      <c r="N87" s="6">
        <v>140000</v>
      </c>
      <c r="O87" s="6">
        <v>1032</v>
      </c>
      <c r="P87">
        <v>189</v>
      </c>
      <c r="Q87" t="s">
        <v>31</v>
      </c>
    </row>
    <row r="88" spans="1:17" ht="13.95" customHeight="1" outlineLevel="3" x14ac:dyDescent="0.25">
      <c r="A88" t="s">
        <v>1</v>
      </c>
      <c r="B88" s="2">
        <v>41050</v>
      </c>
      <c r="C88" s="2">
        <v>41050</v>
      </c>
      <c r="D88" s="2">
        <v>41095</v>
      </c>
      <c r="E88" s="2"/>
      <c r="F88" t="s">
        <v>2</v>
      </c>
      <c r="G88" s="3">
        <v>45</v>
      </c>
      <c r="H88" s="4">
        <v>43204.2</v>
      </c>
      <c r="I88" t="s">
        <v>3</v>
      </c>
      <c r="J88" s="6">
        <v>1400000037</v>
      </c>
      <c r="K88" t="s">
        <v>0</v>
      </c>
      <c r="L88" s="3">
        <v>2990</v>
      </c>
      <c r="M88" s="3">
        <v>2959</v>
      </c>
      <c r="N88" s="6">
        <v>140000</v>
      </c>
      <c r="O88" s="6">
        <v>1032</v>
      </c>
      <c r="P88">
        <v>189</v>
      </c>
      <c r="Q88" t="s">
        <v>31</v>
      </c>
    </row>
    <row r="89" spans="1:17" ht="13.95" customHeight="1" outlineLevel="3" x14ac:dyDescent="0.25">
      <c r="A89" t="s">
        <v>1</v>
      </c>
      <c r="B89" s="2">
        <v>41050</v>
      </c>
      <c r="C89" s="2">
        <v>41050</v>
      </c>
      <c r="D89" s="2">
        <v>41095</v>
      </c>
      <c r="E89" s="2"/>
      <c r="F89" t="s">
        <v>2</v>
      </c>
      <c r="G89" s="3">
        <v>45</v>
      </c>
      <c r="H89" s="4">
        <v>36445.199999999997</v>
      </c>
      <c r="I89" t="s">
        <v>3</v>
      </c>
      <c r="J89" s="6">
        <v>1400000036</v>
      </c>
      <c r="K89" t="s">
        <v>0</v>
      </c>
      <c r="L89" s="3">
        <v>2990</v>
      </c>
      <c r="M89" s="3">
        <v>2959</v>
      </c>
      <c r="N89" s="6">
        <v>140000</v>
      </c>
      <c r="O89" s="6">
        <v>1032</v>
      </c>
      <c r="P89">
        <v>-532</v>
      </c>
      <c r="Q89" t="s">
        <v>28</v>
      </c>
    </row>
    <row r="90" spans="1:17" ht="13.95" customHeight="1" outlineLevel="3" x14ac:dyDescent="0.25">
      <c r="A90" t="s">
        <v>1</v>
      </c>
      <c r="B90" s="2">
        <v>40151</v>
      </c>
      <c r="C90" s="2">
        <v>40151</v>
      </c>
      <c r="D90" s="2">
        <v>40196</v>
      </c>
      <c r="E90" s="2"/>
      <c r="F90" t="s">
        <v>2</v>
      </c>
      <c r="G90" s="3">
        <v>45</v>
      </c>
      <c r="H90" s="4">
        <v>44400.2</v>
      </c>
      <c r="I90" t="s">
        <v>3</v>
      </c>
      <c r="J90" s="6">
        <v>1400000181</v>
      </c>
      <c r="K90" t="s">
        <v>0</v>
      </c>
      <c r="L90" s="3">
        <v>3889</v>
      </c>
      <c r="M90" s="3">
        <v>3858</v>
      </c>
      <c r="N90" s="6">
        <v>140000</v>
      </c>
      <c r="O90" s="6">
        <v>1032</v>
      </c>
      <c r="P90">
        <v>712</v>
      </c>
      <c r="Q90" t="s">
        <v>32</v>
      </c>
    </row>
    <row r="91" spans="1:17" ht="13.95" customHeight="1" outlineLevel="3" x14ac:dyDescent="0.25">
      <c r="A91" t="s">
        <v>1</v>
      </c>
      <c r="B91" s="2">
        <v>40151</v>
      </c>
      <c r="C91" s="2">
        <v>40151</v>
      </c>
      <c r="D91" s="2">
        <v>40196</v>
      </c>
      <c r="E91" s="2"/>
      <c r="F91" t="s">
        <v>2</v>
      </c>
      <c r="G91" s="3">
        <v>45</v>
      </c>
      <c r="H91" s="4">
        <v>29910.6</v>
      </c>
      <c r="I91" t="s">
        <v>3</v>
      </c>
      <c r="J91" s="6">
        <v>1400000180</v>
      </c>
      <c r="K91" t="s">
        <v>0</v>
      </c>
      <c r="L91" s="3">
        <v>3889</v>
      </c>
      <c r="M91" s="3">
        <v>3858</v>
      </c>
      <c r="N91" s="6">
        <v>140000</v>
      </c>
      <c r="O91" s="6">
        <v>1032</v>
      </c>
      <c r="P91">
        <v>712</v>
      </c>
      <c r="Q91" t="s">
        <v>32</v>
      </c>
    </row>
    <row r="92" spans="1:17" ht="13.95" customHeight="1" outlineLevel="3" x14ac:dyDescent="0.25">
      <c r="A92" t="s">
        <v>1</v>
      </c>
      <c r="B92" s="2">
        <v>40151</v>
      </c>
      <c r="C92" s="2">
        <v>40151</v>
      </c>
      <c r="D92" s="2">
        <v>40196</v>
      </c>
      <c r="E92" s="2"/>
      <c r="F92" t="s">
        <v>2</v>
      </c>
      <c r="G92" s="3">
        <v>45</v>
      </c>
      <c r="H92" s="4">
        <v>33408.1</v>
      </c>
      <c r="I92" t="s">
        <v>3</v>
      </c>
      <c r="J92" s="6">
        <v>1400000179</v>
      </c>
      <c r="K92" t="s">
        <v>0</v>
      </c>
      <c r="L92" s="3">
        <v>3889</v>
      </c>
      <c r="M92" s="3">
        <v>3858</v>
      </c>
      <c r="N92" s="6">
        <v>140000</v>
      </c>
      <c r="O92" s="6">
        <v>1032</v>
      </c>
      <c r="P92">
        <v>712</v>
      </c>
      <c r="Q92" t="s">
        <v>32</v>
      </c>
    </row>
    <row r="93" spans="1:17" ht="13.95" customHeight="1" outlineLevel="3" x14ac:dyDescent="0.25">
      <c r="A93" t="s">
        <v>1</v>
      </c>
      <c r="B93" s="2">
        <v>40123</v>
      </c>
      <c r="C93" s="2">
        <v>40123</v>
      </c>
      <c r="D93" s="2">
        <v>40168</v>
      </c>
      <c r="E93" s="2"/>
      <c r="F93" t="s">
        <v>2</v>
      </c>
      <c r="G93" s="3">
        <v>45</v>
      </c>
      <c r="H93" s="4">
        <v>47815.6</v>
      </c>
      <c r="I93" t="s">
        <v>3</v>
      </c>
      <c r="J93" s="6">
        <v>1400000172</v>
      </c>
      <c r="K93" t="s">
        <v>0</v>
      </c>
      <c r="L93" s="3">
        <v>3917</v>
      </c>
      <c r="M93" s="3">
        <v>3886</v>
      </c>
      <c r="N93" s="6">
        <v>140000</v>
      </c>
      <c r="O93" s="6">
        <v>1032</v>
      </c>
      <c r="P93">
        <v>740</v>
      </c>
      <c r="Q93" t="s">
        <v>32</v>
      </c>
    </row>
    <row r="94" spans="1:17" ht="13.95" customHeight="1" outlineLevel="3" x14ac:dyDescent="0.25">
      <c r="A94" t="s">
        <v>1</v>
      </c>
      <c r="B94" s="2">
        <v>40123</v>
      </c>
      <c r="C94" s="2">
        <v>40123</v>
      </c>
      <c r="D94" s="2">
        <v>40168</v>
      </c>
      <c r="E94" s="2"/>
      <c r="F94" t="s">
        <v>2</v>
      </c>
      <c r="G94" s="3">
        <v>45</v>
      </c>
      <c r="H94" s="4">
        <v>33234</v>
      </c>
      <c r="I94" t="s">
        <v>3</v>
      </c>
      <c r="J94" s="6">
        <v>1400000171</v>
      </c>
      <c r="K94" t="s">
        <v>0</v>
      </c>
      <c r="L94" s="3">
        <v>3917</v>
      </c>
      <c r="M94" s="3">
        <v>3886</v>
      </c>
      <c r="N94" s="6">
        <v>140000</v>
      </c>
      <c r="O94" s="6">
        <v>1032</v>
      </c>
      <c r="P94">
        <v>740</v>
      </c>
      <c r="Q94" t="s">
        <v>32</v>
      </c>
    </row>
    <row r="95" spans="1:17" ht="13.95" customHeight="1" outlineLevel="3" x14ac:dyDescent="0.25">
      <c r="A95" t="s">
        <v>1</v>
      </c>
      <c r="B95" s="2">
        <v>40123</v>
      </c>
      <c r="C95" s="2">
        <v>40123</v>
      </c>
      <c r="D95" s="2">
        <v>40168</v>
      </c>
      <c r="E95" s="2"/>
      <c r="F95" t="s">
        <v>2</v>
      </c>
      <c r="G95" s="3">
        <v>45</v>
      </c>
      <c r="H95" s="4">
        <v>27333.9</v>
      </c>
      <c r="I95" t="s">
        <v>3</v>
      </c>
      <c r="J95" s="6">
        <v>1400000170</v>
      </c>
      <c r="K95" t="s">
        <v>0</v>
      </c>
      <c r="L95" s="3">
        <v>3917</v>
      </c>
      <c r="M95" s="3">
        <v>3886</v>
      </c>
      <c r="N95" s="6">
        <v>140000</v>
      </c>
      <c r="O95" s="6">
        <v>1032</v>
      </c>
      <c r="P95">
        <v>740</v>
      </c>
      <c r="Q95" t="s">
        <v>32</v>
      </c>
    </row>
    <row r="96" spans="1:17" ht="13.95" customHeight="1" outlineLevel="3" x14ac:dyDescent="0.25">
      <c r="A96" t="s">
        <v>1</v>
      </c>
      <c r="B96" s="2">
        <v>40095</v>
      </c>
      <c r="C96" s="2">
        <v>40095</v>
      </c>
      <c r="D96" s="2">
        <v>40140</v>
      </c>
      <c r="E96" s="2"/>
      <c r="F96" t="s">
        <v>2</v>
      </c>
      <c r="G96" s="3">
        <v>45</v>
      </c>
      <c r="H96" s="4">
        <v>51231</v>
      </c>
      <c r="I96" t="s">
        <v>3</v>
      </c>
      <c r="J96" s="6">
        <v>1400000163</v>
      </c>
      <c r="K96" t="s">
        <v>0</v>
      </c>
      <c r="L96" s="3">
        <v>3945</v>
      </c>
      <c r="M96" s="3">
        <v>3914</v>
      </c>
      <c r="N96" s="6">
        <v>140000</v>
      </c>
      <c r="O96" s="6">
        <v>1032</v>
      </c>
      <c r="P96">
        <v>-19</v>
      </c>
      <c r="Q96" t="s">
        <v>28</v>
      </c>
    </row>
    <row r="97" spans="1:17" ht="13.95" customHeight="1" outlineLevel="3" x14ac:dyDescent="0.25">
      <c r="A97" t="s">
        <v>1</v>
      </c>
      <c r="B97" s="2">
        <v>40095</v>
      </c>
      <c r="C97" s="2">
        <v>40095</v>
      </c>
      <c r="D97" s="2">
        <v>40140</v>
      </c>
      <c r="E97" s="2"/>
      <c r="F97" t="s">
        <v>2</v>
      </c>
      <c r="G97" s="3">
        <v>45</v>
      </c>
      <c r="H97" s="4">
        <v>36557.4</v>
      </c>
      <c r="I97" t="s">
        <v>3</v>
      </c>
      <c r="J97" s="6">
        <v>1400000162</v>
      </c>
      <c r="K97" t="s">
        <v>0</v>
      </c>
      <c r="L97" s="3">
        <v>3945</v>
      </c>
      <c r="M97" s="3">
        <v>3914</v>
      </c>
      <c r="N97" s="6">
        <v>140000</v>
      </c>
      <c r="O97" s="6">
        <v>1032</v>
      </c>
      <c r="P97">
        <v>-19</v>
      </c>
      <c r="Q97" t="s">
        <v>28</v>
      </c>
    </row>
    <row r="98" spans="1:17" ht="13.95" customHeight="1" outlineLevel="3" x14ac:dyDescent="0.25">
      <c r="A98" t="s">
        <v>1</v>
      </c>
      <c r="B98" s="2">
        <v>40095</v>
      </c>
      <c r="C98" s="2">
        <v>40095</v>
      </c>
      <c r="D98" s="2">
        <v>40140</v>
      </c>
      <c r="E98" s="2"/>
      <c r="F98" t="s">
        <v>2</v>
      </c>
      <c r="G98" s="3">
        <v>45</v>
      </c>
      <c r="H98" s="4">
        <v>21259.7</v>
      </c>
      <c r="I98" t="s">
        <v>3</v>
      </c>
      <c r="J98" s="6">
        <v>1400000161</v>
      </c>
      <c r="K98" t="s">
        <v>0</v>
      </c>
      <c r="L98" s="3">
        <v>3945</v>
      </c>
      <c r="M98" s="3">
        <v>3914</v>
      </c>
      <c r="N98" s="6">
        <v>140000</v>
      </c>
      <c r="O98" s="6">
        <v>1032</v>
      </c>
      <c r="P98">
        <v>-19</v>
      </c>
      <c r="Q98" t="s">
        <v>28</v>
      </c>
    </row>
    <row r="99" spans="1:17" ht="13.95" customHeight="1" outlineLevel="3" x14ac:dyDescent="0.25">
      <c r="A99" t="s">
        <v>1</v>
      </c>
      <c r="B99" s="2">
        <v>40060</v>
      </c>
      <c r="C99" s="2">
        <v>40060</v>
      </c>
      <c r="D99" s="2">
        <v>40105</v>
      </c>
      <c r="E99" s="2"/>
      <c r="F99" t="s">
        <v>2</v>
      </c>
      <c r="G99" s="3">
        <v>45</v>
      </c>
      <c r="H99" s="4">
        <v>44400.2</v>
      </c>
      <c r="I99" t="s">
        <v>3</v>
      </c>
      <c r="J99" s="6">
        <v>1400000154</v>
      </c>
      <c r="K99" t="s">
        <v>0</v>
      </c>
      <c r="L99" s="3">
        <v>3980</v>
      </c>
      <c r="M99" s="3">
        <v>3949</v>
      </c>
      <c r="N99" s="6">
        <v>140000</v>
      </c>
      <c r="O99" s="6">
        <v>1032</v>
      </c>
      <c r="P99">
        <v>803</v>
      </c>
      <c r="Q99" t="s">
        <v>32</v>
      </c>
    </row>
    <row r="100" spans="1:17" ht="13.95" customHeight="1" outlineLevel="3" x14ac:dyDescent="0.25">
      <c r="A100" t="s">
        <v>1</v>
      </c>
      <c r="B100" s="2">
        <v>40060</v>
      </c>
      <c r="C100" s="2">
        <v>40060</v>
      </c>
      <c r="D100" s="2">
        <v>40105</v>
      </c>
      <c r="E100" s="2"/>
      <c r="F100" t="s">
        <v>2</v>
      </c>
      <c r="G100" s="3">
        <v>45</v>
      </c>
      <c r="H100" s="4">
        <v>46527.6</v>
      </c>
      <c r="I100" t="s">
        <v>3</v>
      </c>
      <c r="J100" s="6">
        <v>1400000153</v>
      </c>
      <c r="K100" t="s">
        <v>0</v>
      </c>
      <c r="L100" s="3">
        <v>3980</v>
      </c>
      <c r="M100" s="3">
        <v>3949</v>
      </c>
      <c r="N100" s="6">
        <v>140000</v>
      </c>
      <c r="O100" s="6">
        <v>1032</v>
      </c>
      <c r="P100">
        <v>803</v>
      </c>
      <c r="Q100" t="s">
        <v>32</v>
      </c>
    </row>
    <row r="101" spans="1:17" ht="13.95" customHeight="1" outlineLevel="3" x14ac:dyDescent="0.25">
      <c r="A101" t="s">
        <v>1</v>
      </c>
      <c r="B101" s="2">
        <v>40060</v>
      </c>
      <c r="C101" s="2">
        <v>40060</v>
      </c>
      <c r="D101" s="2">
        <v>40105</v>
      </c>
      <c r="E101" s="2"/>
      <c r="F101" t="s">
        <v>2</v>
      </c>
      <c r="G101" s="3">
        <v>45</v>
      </c>
      <c r="H101" s="4">
        <v>18222.599999999999</v>
      </c>
      <c r="I101" t="s">
        <v>3</v>
      </c>
      <c r="J101" s="6">
        <v>1400000152</v>
      </c>
      <c r="K101" t="s">
        <v>0</v>
      </c>
      <c r="L101" s="3">
        <v>3980</v>
      </c>
      <c r="M101" s="3">
        <v>3949</v>
      </c>
      <c r="N101" s="6">
        <v>140000</v>
      </c>
      <c r="O101" s="6">
        <v>1032</v>
      </c>
      <c r="P101">
        <v>803</v>
      </c>
      <c r="Q101" t="s">
        <v>32</v>
      </c>
    </row>
    <row r="102" spans="1:17" ht="13.95" customHeight="1" outlineLevel="3" x14ac:dyDescent="0.25">
      <c r="A102" t="s">
        <v>1</v>
      </c>
      <c r="B102" s="2">
        <v>40035</v>
      </c>
      <c r="C102" s="2">
        <v>40035</v>
      </c>
      <c r="D102" s="2">
        <v>40080</v>
      </c>
      <c r="E102" s="2"/>
      <c r="F102" t="s">
        <v>2</v>
      </c>
      <c r="G102" s="3">
        <v>45</v>
      </c>
      <c r="H102" s="4">
        <v>37569.4</v>
      </c>
      <c r="I102" t="s">
        <v>3</v>
      </c>
      <c r="J102" s="6">
        <v>1400000145</v>
      </c>
      <c r="K102" t="s">
        <v>0</v>
      </c>
      <c r="L102" s="3">
        <v>4005</v>
      </c>
      <c r="M102" s="3">
        <v>3974</v>
      </c>
      <c r="N102" s="6">
        <v>140000</v>
      </c>
      <c r="O102" s="6">
        <v>1032</v>
      </c>
      <c r="P102">
        <v>828</v>
      </c>
      <c r="Q102" t="s">
        <v>32</v>
      </c>
    </row>
    <row r="103" spans="1:17" ht="13.95" customHeight="1" outlineLevel="3" x14ac:dyDescent="0.25">
      <c r="A103" t="s">
        <v>1</v>
      </c>
      <c r="B103" s="2">
        <v>40035</v>
      </c>
      <c r="C103" s="2">
        <v>40035</v>
      </c>
      <c r="D103" s="2">
        <v>40080</v>
      </c>
      <c r="E103" s="2"/>
      <c r="F103" t="s">
        <v>2</v>
      </c>
      <c r="G103" s="3">
        <v>45</v>
      </c>
      <c r="H103" s="4">
        <v>49851</v>
      </c>
      <c r="I103" t="s">
        <v>3</v>
      </c>
      <c r="J103" s="6">
        <v>1400000144</v>
      </c>
      <c r="K103" t="s">
        <v>0</v>
      </c>
      <c r="L103" s="3">
        <v>4005</v>
      </c>
      <c r="M103" s="3">
        <v>3974</v>
      </c>
      <c r="N103" s="6">
        <v>140000</v>
      </c>
      <c r="O103" s="6">
        <v>1032</v>
      </c>
      <c r="P103">
        <v>828</v>
      </c>
      <c r="Q103" t="s">
        <v>32</v>
      </c>
    </row>
    <row r="104" spans="1:17" ht="13.95" customHeight="1" outlineLevel="3" x14ac:dyDescent="0.25">
      <c r="A104" t="s">
        <v>1</v>
      </c>
      <c r="B104" s="2">
        <v>40035</v>
      </c>
      <c r="C104" s="2">
        <v>40035</v>
      </c>
      <c r="D104" s="2">
        <v>40080</v>
      </c>
      <c r="E104" s="2"/>
      <c r="F104" t="s">
        <v>2</v>
      </c>
      <c r="G104" s="3">
        <v>45</v>
      </c>
      <c r="H104" s="4">
        <v>15185.5</v>
      </c>
      <c r="I104" t="s">
        <v>3</v>
      </c>
      <c r="J104" s="6">
        <v>1400000143</v>
      </c>
      <c r="K104" t="s">
        <v>0</v>
      </c>
      <c r="L104" s="3">
        <v>4005</v>
      </c>
      <c r="M104" s="3">
        <v>3974</v>
      </c>
      <c r="N104" s="6">
        <v>140000</v>
      </c>
      <c r="O104" s="6">
        <v>1032</v>
      </c>
      <c r="P104">
        <v>828</v>
      </c>
      <c r="Q104" t="s">
        <v>32</v>
      </c>
    </row>
    <row r="105" spans="1:17" ht="13.95" customHeight="1" outlineLevel="3" x14ac:dyDescent="0.25">
      <c r="A105" t="s">
        <v>1</v>
      </c>
      <c r="B105" s="2">
        <v>40000</v>
      </c>
      <c r="C105" s="2">
        <v>40000</v>
      </c>
      <c r="D105" s="2">
        <v>40045</v>
      </c>
      <c r="E105" s="2"/>
      <c r="F105" t="s">
        <v>2</v>
      </c>
      <c r="G105" s="3">
        <v>45</v>
      </c>
      <c r="H105" s="4">
        <v>23907.8</v>
      </c>
      <c r="I105" t="s">
        <v>3</v>
      </c>
      <c r="J105" s="6">
        <v>1400000126</v>
      </c>
      <c r="K105" t="s">
        <v>0</v>
      </c>
      <c r="L105" s="3">
        <v>4040</v>
      </c>
      <c r="M105" s="3">
        <v>4009</v>
      </c>
      <c r="N105" s="6">
        <v>140000</v>
      </c>
      <c r="O105" s="6">
        <v>1032</v>
      </c>
      <c r="P105">
        <v>863</v>
      </c>
      <c r="Q105" t="s">
        <v>32</v>
      </c>
    </row>
    <row r="106" spans="1:17" ht="13.95" customHeight="1" outlineLevel="3" x14ac:dyDescent="0.25">
      <c r="A106" t="s">
        <v>1</v>
      </c>
      <c r="B106" s="2">
        <v>40000</v>
      </c>
      <c r="C106" s="2">
        <v>40000</v>
      </c>
      <c r="D106" s="2">
        <v>40045</v>
      </c>
      <c r="E106" s="2"/>
      <c r="F106" t="s">
        <v>2</v>
      </c>
      <c r="G106" s="3">
        <v>45</v>
      </c>
      <c r="H106" s="4">
        <v>49851</v>
      </c>
      <c r="I106" t="s">
        <v>3</v>
      </c>
      <c r="J106" s="6">
        <v>1400000125</v>
      </c>
      <c r="K106" t="s">
        <v>0</v>
      </c>
      <c r="L106" s="3">
        <v>4040</v>
      </c>
      <c r="M106" s="3">
        <v>4009</v>
      </c>
      <c r="N106" s="6">
        <v>140000</v>
      </c>
      <c r="O106" s="6">
        <v>1032</v>
      </c>
      <c r="P106">
        <v>863</v>
      </c>
      <c r="Q106" t="s">
        <v>32</v>
      </c>
    </row>
    <row r="107" spans="1:17" ht="13.95" customHeight="1" outlineLevel="3" x14ac:dyDescent="0.25">
      <c r="A107" t="s">
        <v>1</v>
      </c>
      <c r="B107" s="2">
        <v>40000</v>
      </c>
      <c r="C107" s="2">
        <v>40000</v>
      </c>
      <c r="D107" s="2">
        <v>40045</v>
      </c>
      <c r="E107" s="2"/>
      <c r="F107" t="s">
        <v>2</v>
      </c>
      <c r="G107" s="3">
        <v>45</v>
      </c>
      <c r="H107" s="4">
        <v>18222.599999999999</v>
      </c>
      <c r="I107" t="s">
        <v>3</v>
      </c>
      <c r="J107" s="6">
        <v>1400000124</v>
      </c>
      <c r="K107" t="s">
        <v>0</v>
      </c>
      <c r="L107" s="3">
        <v>4040</v>
      </c>
      <c r="M107" s="3">
        <v>4009</v>
      </c>
      <c r="N107" s="6">
        <v>140000</v>
      </c>
      <c r="O107" s="6">
        <v>1032</v>
      </c>
      <c r="P107">
        <v>863</v>
      </c>
      <c r="Q107" t="s">
        <v>32</v>
      </c>
    </row>
    <row r="108" spans="1:17" ht="13.95" customHeight="1" outlineLevel="3" x14ac:dyDescent="0.25">
      <c r="A108" t="s">
        <v>1</v>
      </c>
      <c r="B108" s="2">
        <v>39972</v>
      </c>
      <c r="C108" s="2">
        <v>39972</v>
      </c>
      <c r="D108" s="2">
        <v>40017</v>
      </c>
      <c r="E108" s="2"/>
      <c r="F108" t="s">
        <v>2</v>
      </c>
      <c r="G108" s="3">
        <v>45</v>
      </c>
      <c r="H108" s="4">
        <v>17077</v>
      </c>
      <c r="I108" t="s">
        <v>3</v>
      </c>
      <c r="J108" s="6">
        <v>1400000107</v>
      </c>
      <c r="K108" t="s">
        <v>0</v>
      </c>
      <c r="L108" s="3">
        <v>4068</v>
      </c>
      <c r="M108" s="3">
        <v>4037</v>
      </c>
      <c r="N108" s="6">
        <v>140000</v>
      </c>
      <c r="O108" s="6">
        <v>1032</v>
      </c>
      <c r="P108">
        <v>-363</v>
      </c>
      <c r="Q108" t="s">
        <v>28</v>
      </c>
    </row>
    <row r="109" spans="1:17" ht="13.95" customHeight="1" outlineLevel="3" x14ac:dyDescent="0.25">
      <c r="A109" t="s">
        <v>1</v>
      </c>
      <c r="B109" s="2">
        <v>39972</v>
      </c>
      <c r="C109" s="2">
        <v>39972</v>
      </c>
      <c r="D109" s="2">
        <v>40017</v>
      </c>
      <c r="E109" s="2"/>
      <c r="F109" t="s">
        <v>2</v>
      </c>
      <c r="G109" s="3">
        <v>45</v>
      </c>
      <c r="H109" s="4">
        <v>53174.400000000001</v>
      </c>
      <c r="I109" t="s">
        <v>3</v>
      </c>
      <c r="J109" s="6">
        <v>1400000106</v>
      </c>
      <c r="K109" t="s">
        <v>0</v>
      </c>
      <c r="L109" s="3">
        <v>4068</v>
      </c>
      <c r="M109" s="3">
        <v>4037</v>
      </c>
      <c r="N109" s="6">
        <v>140000</v>
      </c>
      <c r="O109" s="6">
        <v>1032</v>
      </c>
      <c r="P109">
        <v>-363</v>
      </c>
      <c r="Q109" t="s">
        <v>28</v>
      </c>
    </row>
    <row r="110" spans="1:17" ht="13.95" customHeight="1" outlineLevel="3" x14ac:dyDescent="0.25">
      <c r="A110" t="s">
        <v>1</v>
      </c>
      <c r="B110" s="2">
        <v>39972</v>
      </c>
      <c r="C110" s="2">
        <v>39972</v>
      </c>
      <c r="D110" s="2">
        <v>40017</v>
      </c>
      <c r="E110" s="2"/>
      <c r="F110" t="s">
        <v>2</v>
      </c>
      <c r="G110" s="3">
        <v>45</v>
      </c>
      <c r="H110" s="4">
        <v>27333.9</v>
      </c>
      <c r="I110" t="s">
        <v>3</v>
      </c>
      <c r="J110" s="6">
        <v>1400000105</v>
      </c>
      <c r="K110" t="s">
        <v>0</v>
      </c>
      <c r="L110" s="3">
        <v>4068</v>
      </c>
      <c r="M110" s="3">
        <v>4037</v>
      </c>
      <c r="N110" s="6">
        <v>140000</v>
      </c>
      <c r="O110" s="6">
        <v>1032</v>
      </c>
      <c r="P110">
        <v>-363</v>
      </c>
      <c r="Q110" t="s">
        <v>28</v>
      </c>
    </row>
    <row r="111" spans="1:17" ht="13.95" customHeight="1" outlineLevel="3" x14ac:dyDescent="0.25">
      <c r="A111" t="s">
        <v>1</v>
      </c>
      <c r="B111" s="2">
        <v>39938</v>
      </c>
      <c r="C111" s="2">
        <v>39938</v>
      </c>
      <c r="D111" s="2">
        <v>39983</v>
      </c>
      <c r="E111" s="2"/>
      <c r="F111" t="s">
        <v>2</v>
      </c>
      <c r="G111" s="3">
        <v>45</v>
      </c>
      <c r="H111" s="4">
        <v>20492.400000000001</v>
      </c>
      <c r="I111" t="s">
        <v>3</v>
      </c>
      <c r="J111" s="6">
        <v>1400000088</v>
      </c>
      <c r="K111" t="s">
        <v>0</v>
      </c>
      <c r="L111" s="3">
        <v>4102</v>
      </c>
      <c r="M111" s="3">
        <v>4071</v>
      </c>
      <c r="N111" s="6">
        <v>140000</v>
      </c>
      <c r="O111" s="6">
        <v>1032</v>
      </c>
      <c r="P111">
        <v>-2364</v>
      </c>
      <c r="Q111" t="s">
        <v>28</v>
      </c>
    </row>
    <row r="112" spans="1:17" ht="13.95" customHeight="1" outlineLevel="3" x14ac:dyDescent="0.25">
      <c r="A112" t="s">
        <v>1</v>
      </c>
      <c r="B112" s="2">
        <v>39938</v>
      </c>
      <c r="C112" s="2">
        <v>39938</v>
      </c>
      <c r="D112" s="2">
        <v>39983</v>
      </c>
      <c r="E112" s="2"/>
      <c r="F112" t="s">
        <v>2</v>
      </c>
      <c r="G112" s="3">
        <v>45</v>
      </c>
      <c r="H112" s="4">
        <v>43204.2</v>
      </c>
      <c r="I112" t="s">
        <v>3</v>
      </c>
      <c r="J112" s="6">
        <v>1400000087</v>
      </c>
      <c r="K112" t="s">
        <v>0</v>
      </c>
      <c r="L112" s="3">
        <v>4102</v>
      </c>
      <c r="M112" s="3">
        <v>4071</v>
      </c>
      <c r="N112" s="6">
        <v>140000</v>
      </c>
      <c r="O112" s="6">
        <v>1032</v>
      </c>
      <c r="P112">
        <v>-294</v>
      </c>
      <c r="Q112" t="s">
        <v>28</v>
      </c>
    </row>
    <row r="113" spans="1:17" ht="13.95" customHeight="1" outlineLevel="3" x14ac:dyDescent="0.25">
      <c r="A113" t="s">
        <v>1</v>
      </c>
      <c r="B113" s="2">
        <v>39938</v>
      </c>
      <c r="C113" s="2">
        <v>39938</v>
      </c>
      <c r="D113" s="2">
        <v>39983</v>
      </c>
      <c r="E113" s="2"/>
      <c r="F113" t="s">
        <v>2</v>
      </c>
      <c r="G113" s="3">
        <v>45</v>
      </c>
      <c r="H113" s="4">
        <v>36445.199999999997</v>
      </c>
      <c r="I113" t="s">
        <v>3</v>
      </c>
      <c r="J113" s="6">
        <v>1400000086</v>
      </c>
      <c r="K113" t="s">
        <v>0</v>
      </c>
      <c r="L113" s="3">
        <v>4102</v>
      </c>
      <c r="M113" s="3">
        <v>4071</v>
      </c>
      <c r="N113" s="6">
        <v>140000</v>
      </c>
      <c r="O113" s="6">
        <v>1032</v>
      </c>
      <c r="P113">
        <v>925</v>
      </c>
      <c r="Q113" t="s">
        <v>32</v>
      </c>
    </row>
    <row r="114" spans="1:17" ht="13.95" customHeight="1" outlineLevel="3" x14ac:dyDescent="0.25">
      <c r="A114" t="s">
        <v>1</v>
      </c>
      <c r="B114" s="2">
        <v>39933</v>
      </c>
      <c r="C114" s="2">
        <v>39933</v>
      </c>
      <c r="D114" s="2">
        <v>39978</v>
      </c>
      <c r="E114" s="2"/>
      <c r="F114" t="s">
        <v>2</v>
      </c>
      <c r="G114" s="3">
        <v>45</v>
      </c>
      <c r="H114" s="4">
        <v>23907.8</v>
      </c>
      <c r="I114" t="s">
        <v>3</v>
      </c>
      <c r="J114" s="6">
        <v>1400000069</v>
      </c>
      <c r="K114" t="s">
        <v>0</v>
      </c>
      <c r="L114" s="3">
        <v>4107</v>
      </c>
      <c r="M114" s="3">
        <v>4076</v>
      </c>
      <c r="N114" s="6">
        <v>140000</v>
      </c>
      <c r="O114" s="6">
        <v>1032</v>
      </c>
      <c r="P114">
        <v>930</v>
      </c>
      <c r="Q114" t="s">
        <v>32</v>
      </c>
    </row>
    <row r="115" spans="1:17" ht="13.95" customHeight="1" outlineLevel="3" x14ac:dyDescent="0.25">
      <c r="A115" t="s">
        <v>1</v>
      </c>
      <c r="B115" s="2">
        <v>39933</v>
      </c>
      <c r="C115" s="2">
        <v>39933</v>
      </c>
      <c r="D115" s="2">
        <v>39978</v>
      </c>
      <c r="E115" s="2"/>
      <c r="F115" t="s">
        <v>2</v>
      </c>
      <c r="G115" s="3">
        <v>45</v>
      </c>
      <c r="H115" s="4">
        <v>36557.4</v>
      </c>
      <c r="I115" t="s">
        <v>3</v>
      </c>
      <c r="J115" s="6">
        <v>1400000068</v>
      </c>
      <c r="K115" t="s">
        <v>0</v>
      </c>
      <c r="L115" s="3">
        <v>4107</v>
      </c>
      <c r="M115" s="3">
        <v>4076</v>
      </c>
      <c r="N115" s="6">
        <v>140000</v>
      </c>
      <c r="O115" s="6">
        <v>1032</v>
      </c>
      <c r="P115">
        <v>930</v>
      </c>
      <c r="Q115" t="s">
        <v>32</v>
      </c>
    </row>
    <row r="116" spans="1:17" ht="13.95" customHeight="1" outlineLevel="3" x14ac:dyDescent="0.25">
      <c r="A116" t="s">
        <v>1</v>
      </c>
      <c r="B116" s="2">
        <v>39933</v>
      </c>
      <c r="C116" s="2">
        <v>39933</v>
      </c>
      <c r="D116" s="2">
        <v>39978</v>
      </c>
      <c r="E116" s="2"/>
      <c r="F116" t="s">
        <v>2</v>
      </c>
      <c r="G116" s="3">
        <v>45</v>
      </c>
      <c r="H116" s="4">
        <v>36445.199999999997</v>
      </c>
      <c r="I116" t="s">
        <v>3</v>
      </c>
      <c r="J116" s="6">
        <v>1400000067</v>
      </c>
      <c r="K116" t="s">
        <v>0</v>
      </c>
      <c r="L116" s="3">
        <v>4107</v>
      </c>
      <c r="M116" s="3">
        <v>4076</v>
      </c>
      <c r="N116" s="6">
        <v>140000</v>
      </c>
      <c r="O116" s="6">
        <v>1032</v>
      </c>
      <c r="P116">
        <v>86</v>
      </c>
      <c r="Q116" t="s">
        <v>29</v>
      </c>
    </row>
    <row r="117" spans="1:17" ht="13.95" customHeight="1" outlineLevel="3" x14ac:dyDescent="0.25">
      <c r="A117" t="s">
        <v>1</v>
      </c>
      <c r="B117" s="2">
        <v>39897</v>
      </c>
      <c r="C117" s="2">
        <v>39897</v>
      </c>
      <c r="D117" s="2">
        <v>39942</v>
      </c>
      <c r="E117" s="2"/>
      <c r="F117" t="s">
        <v>2</v>
      </c>
      <c r="G117" s="3">
        <v>45</v>
      </c>
      <c r="H117" s="4">
        <v>30738.6</v>
      </c>
      <c r="I117" t="s">
        <v>3</v>
      </c>
      <c r="J117" s="6">
        <v>1400000050</v>
      </c>
      <c r="K117" t="s">
        <v>0</v>
      </c>
      <c r="L117" s="3">
        <v>4143</v>
      </c>
      <c r="M117" s="3">
        <v>4112</v>
      </c>
      <c r="N117" s="6">
        <v>140000</v>
      </c>
      <c r="O117" s="6">
        <v>1032</v>
      </c>
      <c r="P117">
        <v>966</v>
      </c>
      <c r="Q117" t="s">
        <v>32</v>
      </c>
    </row>
    <row r="118" spans="1:17" ht="13.95" customHeight="1" outlineLevel="3" x14ac:dyDescent="0.25">
      <c r="A118" t="s">
        <v>1</v>
      </c>
      <c r="B118" s="2">
        <v>39897</v>
      </c>
      <c r="C118" s="2">
        <v>39897</v>
      </c>
      <c r="D118" s="2">
        <v>39942</v>
      </c>
      <c r="E118" s="2"/>
      <c r="F118" t="s">
        <v>2</v>
      </c>
      <c r="G118" s="3">
        <v>45</v>
      </c>
      <c r="H118" s="4">
        <v>29910.6</v>
      </c>
      <c r="I118" t="s">
        <v>3</v>
      </c>
      <c r="J118" s="6">
        <v>1400000049</v>
      </c>
      <c r="K118" t="s">
        <v>0</v>
      </c>
      <c r="L118" s="3">
        <v>4143</v>
      </c>
      <c r="M118" s="3">
        <v>4112</v>
      </c>
      <c r="N118" s="6">
        <v>140000</v>
      </c>
      <c r="O118" s="6">
        <v>1032</v>
      </c>
      <c r="P118">
        <v>966</v>
      </c>
      <c r="Q118" t="s">
        <v>32</v>
      </c>
    </row>
    <row r="119" spans="1:17" ht="13.95" customHeight="1" outlineLevel="3" x14ac:dyDescent="0.25">
      <c r="A119" t="s">
        <v>1</v>
      </c>
      <c r="B119" s="2">
        <v>39897</v>
      </c>
      <c r="C119" s="2">
        <v>39897</v>
      </c>
      <c r="D119" s="2">
        <v>39942</v>
      </c>
      <c r="E119" s="2"/>
      <c r="F119" t="s">
        <v>2</v>
      </c>
      <c r="G119" s="3">
        <v>45</v>
      </c>
      <c r="H119" s="4">
        <v>45556.5</v>
      </c>
      <c r="I119" t="s">
        <v>3</v>
      </c>
      <c r="J119" s="6">
        <v>1400000048</v>
      </c>
      <c r="K119" t="s">
        <v>0</v>
      </c>
      <c r="L119" s="3">
        <v>4143</v>
      </c>
      <c r="M119" s="3">
        <v>4112</v>
      </c>
      <c r="N119" s="6">
        <v>140000</v>
      </c>
      <c r="O119" s="6">
        <v>1032</v>
      </c>
      <c r="P119">
        <v>161</v>
      </c>
      <c r="Q119" t="s">
        <v>30</v>
      </c>
    </row>
    <row r="120" spans="1:17" ht="13.95" customHeight="1" outlineLevel="3" x14ac:dyDescent="0.25">
      <c r="A120" t="s">
        <v>1</v>
      </c>
      <c r="B120" s="2">
        <v>39860</v>
      </c>
      <c r="C120" s="2">
        <v>39860</v>
      </c>
      <c r="D120" s="2">
        <v>39905</v>
      </c>
      <c r="E120" s="2"/>
      <c r="F120" t="s">
        <v>2</v>
      </c>
      <c r="G120" s="3">
        <v>45</v>
      </c>
      <c r="H120" s="4">
        <v>37569.4</v>
      </c>
      <c r="I120" t="s">
        <v>3</v>
      </c>
      <c r="J120" s="6">
        <v>1400000031</v>
      </c>
      <c r="K120" t="s">
        <v>0</v>
      </c>
      <c r="L120" s="3">
        <v>4180</v>
      </c>
      <c r="M120" s="3">
        <v>4149</v>
      </c>
      <c r="N120" s="6">
        <v>140000</v>
      </c>
      <c r="O120" s="6">
        <v>1032</v>
      </c>
      <c r="P120">
        <v>1003</v>
      </c>
      <c r="Q120" t="s">
        <v>32</v>
      </c>
    </row>
    <row r="121" spans="1:17" ht="13.95" customHeight="1" outlineLevel="3" x14ac:dyDescent="0.25">
      <c r="A121" t="s">
        <v>1</v>
      </c>
      <c r="B121" s="2">
        <v>39860</v>
      </c>
      <c r="C121" s="2">
        <v>39860</v>
      </c>
      <c r="D121" s="2">
        <v>39905</v>
      </c>
      <c r="E121" s="2"/>
      <c r="F121" t="s">
        <v>2</v>
      </c>
      <c r="G121" s="3">
        <v>45</v>
      </c>
      <c r="H121" s="4">
        <v>29910.6</v>
      </c>
      <c r="I121" t="s">
        <v>3</v>
      </c>
      <c r="J121" s="6">
        <v>1400000030</v>
      </c>
      <c r="K121" t="s">
        <v>0</v>
      </c>
      <c r="L121" s="3">
        <v>4180</v>
      </c>
      <c r="M121" s="3">
        <v>4149</v>
      </c>
      <c r="N121" s="6">
        <v>140000</v>
      </c>
      <c r="O121" s="6">
        <v>1032</v>
      </c>
      <c r="P121">
        <v>1003</v>
      </c>
      <c r="Q121" t="s">
        <v>32</v>
      </c>
    </row>
    <row r="122" spans="1:17" ht="13.95" customHeight="1" outlineLevel="3" x14ac:dyDescent="0.25">
      <c r="A122" t="s">
        <v>1</v>
      </c>
      <c r="B122" s="2">
        <v>39860</v>
      </c>
      <c r="C122" s="2">
        <v>39860</v>
      </c>
      <c r="D122" s="2">
        <v>39905</v>
      </c>
      <c r="E122" s="2"/>
      <c r="F122" t="s">
        <v>2</v>
      </c>
      <c r="G122" s="3">
        <v>45</v>
      </c>
      <c r="H122" s="4">
        <v>36445.199999999997</v>
      </c>
      <c r="I122" t="s">
        <v>3</v>
      </c>
      <c r="J122" s="6">
        <v>1400000029</v>
      </c>
      <c r="K122" t="s">
        <v>0</v>
      </c>
      <c r="L122" s="3">
        <v>4180</v>
      </c>
      <c r="M122" s="3">
        <v>4149</v>
      </c>
      <c r="N122" s="6">
        <v>140000</v>
      </c>
      <c r="O122" s="6">
        <v>1032</v>
      </c>
      <c r="P122">
        <v>-148</v>
      </c>
      <c r="Q122" t="s">
        <v>28</v>
      </c>
    </row>
    <row r="123" spans="1:17" ht="13.95" customHeight="1" outlineLevel="3" x14ac:dyDescent="0.25">
      <c r="A123" t="s">
        <v>1</v>
      </c>
      <c r="B123" s="2">
        <v>39832</v>
      </c>
      <c r="C123" s="2">
        <v>39832</v>
      </c>
      <c r="D123" s="2">
        <v>39877</v>
      </c>
      <c r="E123" s="2"/>
      <c r="F123" t="s">
        <v>2</v>
      </c>
      <c r="G123" s="3">
        <v>45</v>
      </c>
      <c r="H123" s="4">
        <v>40984.800000000003</v>
      </c>
      <c r="I123" t="s">
        <v>3</v>
      </c>
      <c r="J123" s="6">
        <v>1400000012</v>
      </c>
      <c r="K123" t="s">
        <v>0</v>
      </c>
      <c r="L123" s="3">
        <v>4208</v>
      </c>
      <c r="M123" s="3">
        <v>4177</v>
      </c>
      <c r="N123" s="6">
        <v>140000</v>
      </c>
      <c r="O123" s="6">
        <v>1032</v>
      </c>
      <c r="P123">
        <v>1031</v>
      </c>
      <c r="Q123" t="s">
        <v>32</v>
      </c>
    </row>
    <row r="124" spans="1:17" ht="13.95" customHeight="1" outlineLevel="3" x14ac:dyDescent="0.25">
      <c r="A124" t="s">
        <v>1</v>
      </c>
      <c r="B124" s="2">
        <v>39832</v>
      </c>
      <c r="C124" s="2">
        <v>39832</v>
      </c>
      <c r="D124" s="2">
        <v>39877</v>
      </c>
      <c r="E124" s="2"/>
      <c r="F124" t="s">
        <v>2</v>
      </c>
      <c r="G124" s="3">
        <v>45</v>
      </c>
      <c r="H124" s="4">
        <v>23263.8</v>
      </c>
      <c r="I124" t="s">
        <v>3</v>
      </c>
      <c r="J124" s="6">
        <v>1400000011</v>
      </c>
      <c r="K124" t="s">
        <v>0</v>
      </c>
      <c r="L124" s="3">
        <v>4208</v>
      </c>
      <c r="M124" s="3">
        <v>4177</v>
      </c>
      <c r="N124" s="6">
        <v>140000</v>
      </c>
      <c r="O124" s="6">
        <v>1032</v>
      </c>
      <c r="P124">
        <v>-103</v>
      </c>
      <c r="Q124" t="s">
        <v>28</v>
      </c>
    </row>
    <row r="125" spans="1:17" ht="13.95" customHeight="1" outlineLevel="3" x14ac:dyDescent="0.25">
      <c r="A125" t="s">
        <v>1</v>
      </c>
      <c r="B125" s="2">
        <v>39832</v>
      </c>
      <c r="C125" s="2">
        <v>39832</v>
      </c>
      <c r="D125" s="2">
        <v>39877</v>
      </c>
      <c r="E125" s="2"/>
      <c r="F125" t="s">
        <v>2</v>
      </c>
      <c r="G125" s="3">
        <v>45</v>
      </c>
      <c r="H125" s="4">
        <v>30371</v>
      </c>
      <c r="I125" t="s">
        <v>3</v>
      </c>
      <c r="J125" s="6">
        <v>1400000010</v>
      </c>
      <c r="K125" t="s">
        <v>0</v>
      </c>
      <c r="L125" s="3">
        <v>4208</v>
      </c>
      <c r="M125" s="3">
        <v>4177</v>
      </c>
      <c r="N125" s="6">
        <v>140000</v>
      </c>
      <c r="O125" s="6">
        <v>1032</v>
      </c>
      <c r="P125">
        <v>-103</v>
      </c>
      <c r="Q125" t="s">
        <v>28</v>
      </c>
    </row>
    <row r="126" spans="1:17" ht="13.95" customHeight="1" outlineLevel="3" x14ac:dyDescent="0.25">
      <c r="A126" t="s">
        <v>1</v>
      </c>
      <c r="B126" s="2">
        <v>39792</v>
      </c>
      <c r="C126" s="2">
        <v>39792</v>
      </c>
      <c r="D126" s="2">
        <v>39837</v>
      </c>
      <c r="E126" s="2"/>
      <c r="F126" t="s">
        <v>2</v>
      </c>
      <c r="G126" s="3">
        <v>45</v>
      </c>
      <c r="H126" s="4">
        <v>44400.2</v>
      </c>
      <c r="I126" t="s">
        <v>3</v>
      </c>
      <c r="J126" s="6">
        <v>1400000230</v>
      </c>
      <c r="K126" t="s">
        <v>0</v>
      </c>
      <c r="L126" s="3">
        <v>4248</v>
      </c>
      <c r="M126" s="3">
        <v>4217</v>
      </c>
      <c r="N126" s="6">
        <v>140000</v>
      </c>
      <c r="O126" s="6">
        <v>1032</v>
      </c>
      <c r="P126">
        <v>1071</v>
      </c>
      <c r="Q126" t="s">
        <v>32</v>
      </c>
    </row>
    <row r="127" spans="1:17" ht="13.95" customHeight="1" outlineLevel="3" x14ac:dyDescent="0.25">
      <c r="A127" t="s">
        <v>1</v>
      </c>
      <c r="B127" s="2">
        <v>39792</v>
      </c>
      <c r="C127" s="2">
        <v>39792</v>
      </c>
      <c r="D127" s="2">
        <v>39837</v>
      </c>
      <c r="E127" s="2"/>
      <c r="F127" t="s">
        <v>2</v>
      </c>
      <c r="G127" s="3">
        <v>45</v>
      </c>
      <c r="H127" s="4">
        <v>29910.6</v>
      </c>
      <c r="I127" t="s">
        <v>3</v>
      </c>
      <c r="J127" s="6">
        <v>1400000229</v>
      </c>
      <c r="K127" t="s">
        <v>0</v>
      </c>
      <c r="L127" s="3">
        <v>4248</v>
      </c>
      <c r="M127" s="3">
        <v>4217</v>
      </c>
      <c r="N127" s="6">
        <v>140000</v>
      </c>
      <c r="O127" s="6">
        <v>1032</v>
      </c>
      <c r="P127">
        <v>1071</v>
      </c>
      <c r="Q127" t="s">
        <v>32</v>
      </c>
    </row>
    <row r="128" spans="1:17" ht="13.95" customHeight="1" outlineLevel="3" x14ac:dyDescent="0.25">
      <c r="A128" t="s">
        <v>1</v>
      </c>
      <c r="B128" s="2">
        <v>39792</v>
      </c>
      <c r="C128" s="2">
        <v>39792</v>
      </c>
      <c r="D128" s="2">
        <v>39837</v>
      </c>
      <c r="E128" s="2"/>
      <c r="F128" t="s">
        <v>2</v>
      </c>
      <c r="G128" s="3">
        <v>45</v>
      </c>
      <c r="H128" s="4">
        <v>33408.1</v>
      </c>
      <c r="I128" t="s">
        <v>3</v>
      </c>
      <c r="J128" s="6">
        <v>1400000228</v>
      </c>
      <c r="K128" t="s">
        <v>0</v>
      </c>
      <c r="L128" s="3">
        <v>4248</v>
      </c>
      <c r="M128" s="3">
        <v>4217</v>
      </c>
      <c r="N128" s="6">
        <v>140000</v>
      </c>
      <c r="O128" s="6">
        <v>1032</v>
      </c>
      <c r="P128">
        <v>1071</v>
      </c>
      <c r="Q128" t="s">
        <v>32</v>
      </c>
    </row>
    <row r="129" spans="1:17" ht="13.95" customHeight="1" outlineLevel="3" x14ac:dyDescent="0.25">
      <c r="A129" t="s">
        <v>1</v>
      </c>
      <c r="B129" s="2">
        <v>39762</v>
      </c>
      <c r="C129" s="2">
        <v>39762</v>
      </c>
      <c r="D129" s="2">
        <v>39807</v>
      </c>
      <c r="E129" s="2"/>
      <c r="F129" t="s">
        <v>2</v>
      </c>
      <c r="G129" s="3">
        <v>45</v>
      </c>
      <c r="H129" s="4">
        <v>47815.6</v>
      </c>
      <c r="I129" t="s">
        <v>3</v>
      </c>
      <c r="J129" s="6">
        <v>1400000211</v>
      </c>
      <c r="K129" t="s">
        <v>0</v>
      </c>
      <c r="L129" s="3">
        <v>4278</v>
      </c>
      <c r="M129" s="3">
        <v>4247</v>
      </c>
      <c r="N129" s="6">
        <v>140000</v>
      </c>
      <c r="O129" s="6">
        <v>1032</v>
      </c>
      <c r="P129">
        <v>1101</v>
      </c>
      <c r="Q129" t="s">
        <v>32</v>
      </c>
    </row>
    <row r="130" spans="1:17" ht="13.95" customHeight="1" outlineLevel="3" x14ac:dyDescent="0.25">
      <c r="A130" t="s">
        <v>1</v>
      </c>
      <c r="B130" s="2">
        <v>39762</v>
      </c>
      <c r="C130" s="2">
        <v>39762</v>
      </c>
      <c r="D130" s="2">
        <v>39807</v>
      </c>
      <c r="E130" s="2"/>
      <c r="F130" t="s">
        <v>2</v>
      </c>
      <c r="G130" s="3">
        <v>45</v>
      </c>
      <c r="H130" s="4">
        <v>33234</v>
      </c>
      <c r="I130" t="s">
        <v>3</v>
      </c>
      <c r="J130" s="6">
        <v>1400000210</v>
      </c>
      <c r="K130" t="s">
        <v>0</v>
      </c>
      <c r="L130" s="3">
        <v>4278</v>
      </c>
      <c r="M130" s="3">
        <v>4247</v>
      </c>
      <c r="N130" s="6">
        <v>140000</v>
      </c>
      <c r="O130" s="6">
        <v>1032</v>
      </c>
      <c r="P130">
        <v>1101</v>
      </c>
      <c r="Q130" t="s">
        <v>32</v>
      </c>
    </row>
    <row r="131" spans="1:17" ht="13.95" customHeight="1" outlineLevel="3" x14ac:dyDescent="0.25">
      <c r="A131" t="s">
        <v>1</v>
      </c>
      <c r="B131" s="2">
        <v>39762</v>
      </c>
      <c r="C131" s="2">
        <v>39762</v>
      </c>
      <c r="D131" s="2">
        <v>39807</v>
      </c>
      <c r="E131" s="2"/>
      <c r="F131" t="s">
        <v>2</v>
      </c>
      <c r="G131" s="3">
        <v>45</v>
      </c>
      <c r="H131" s="4">
        <v>27333.9</v>
      </c>
      <c r="I131" t="s">
        <v>3</v>
      </c>
      <c r="J131" s="6">
        <v>1400000209</v>
      </c>
      <c r="K131" t="s">
        <v>0</v>
      </c>
      <c r="L131" s="3">
        <v>4278</v>
      </c>
      <c r="M131" s="3">
        <v>4247</v>
      </c>
      <c r="N131" s="6">
        <v>140000</v>
      </c>
      <c r="O131" s="6">
        <v>1032</v>
      </c>
      <c r="P131">
        <v>1101</v>
      </c>
      <c r="Q131" t="s">
        <v>32</v>
      </c>
    </row>
    <row r="132" spans="1:17" ht="13.95" customHeight="1" outlineLevel="3" x14ac:dyDescent="0.25">
      <c r="A132" t="s">
        <v>1</v>
      </c>
      <c r="B132" s="2">
        <v>40595</v>
      </c>
      <c r="C132" s="2">
        <v>40595</v>
      </c>
      <c r="D132" s="2">
        <v>40640</v>
      </c>
      <c r="E132" s="2"/>
      <c r="F132" t="s">
        <v>2</v>
      </c>
      <c r="G132" s="3">
        <v>45</v>
      </c>
      <c r="H132" s="4">
        <v>37569.4</v>
      </c>
      <c r="I132" t="s">
        <v>3</v>
      </c>
      <c r="J132" s="6">
        <v>1400000011</v>
      </c>
      <c r="K132" t="s">
        <v>0</v>
      </c>
      <c r="L132" s="3">
        <v>3445</v>
      </c>
      <c r="M132" s="3">
        <v>3414</v>
      </c>
      <c r="N132" s="6">
        <v>140000</v>
      </c>
      <c r="O132" s="6">
        <v>1032</v>
      </c>
      <c r="P132">
        <v>-103</v>
      </c>
      <c r="Q132" t="s">
        <v>28</v>
      </c>
    </row>
    <row r="133" spans="1:17" ht="13.95" customHeight="1" outlineLevel="3" x14ac:dyDescent="0.25">
      <c r="A133" t="s">
        <v>1</v>
      </c>
      <c r="B133" s="2">
        <v>40595</v>
      </c>
      <c r="C133" s="2">
        <v>40595</v>
      </c>
      <c r="D133" s="2">
        <v>40640</v>
      </c>
      <c r="E133" s="2"/>
      <c r="F133" t="s">
        <v>2</v>
      </c>
      <c r="G133" s="3">
        <v>45</v>
      </c>
      <c r="H133" s="4">
        <v>29910.6</v>
      </c>
      <c r="I133" t="s">
        <v>3</v>
      </c>
      <c r="J133" s="6">
        <v>1400000010</v>
      </c>
      <c r="K133" t="s">
        <v>0</v>
      </c>
      <c r="L133" s="3">
        <v>3445</v>
      </c>
      <c r="M133" s="3">
        <v>3414</v>
      </c>
      <c r="N133" s="6">
        <v>140000</v>
      </c>
      <c r="O133" s="6">
        <v>1032</v>
      </c>
      <c r="P133">
        <v>-103</v>
      </c>
      <c r="Q133" t="s">
        <v>28</v>
      </c>
    </row>
    <row r="134" spans="1:17" ht="13.95" customHeight="1" outlineLevel="3" x14ac:dyDescent="0.25">
      <c r="A134" t="s">
        <v>1</v>
      </c>
      <c r="B134" s="2">
        <v>40595</v>
      </c>
      <c r="C134" s="2">
        <v>40595</v>
      </c>
      <c r="D134" s="2">
        <v>40640</v>
      </c>
      <c r="E134" s="2"/>
      <c r="F134" t="s">
        <v>2</v>
      </c>
      <c r="G134" s="3">
        <v>45</v>
      </c>
      <c r="H134" s="4">
        <v>36445.199999999997</v>
      </c>
      <c r="I134" t="s">
        <v>3</v>
      </c>
      <c r="J134" s="6">
        <v>1400000009</v>
      </c>
      <c r="K134" t="s">
        <v>0</v>
      </c>
      <c r="L134" s="3">
        <v>3445</v>
      </c>
      <c r="M134" s="3">
        <v>3414</v>
      </c>
      <c r="N134" s="6">
        <v>140000</v>
      </c>
      <c r="O134" s="6">
        <v>1032</v>
      </c>
      <c r="P134">
        <v>-103</v>
      </c>
      <c r="Q134" t="s">
        <v>28</v>
      </c>
    </row>
    <row r="135" spans="1:17" ht="13.95" customHeight="1" outlineLevel="3" x14ac:dyDescent="0.25">
      <c r="A135" t="s">
        <v>1</v>
      </c>
      <c r="B135" s="2">
        <v>40564</v>
      </c>
      <c r="C135" s="2">
        <v>40564</v>
      </c>
      <c r="D135" s="2">
        <v>40609</v>
      </c>
      <c r="E135" s="2"/>
      <c r="F135" t="s">
        <v>2</v>
      </c>
      <c r="G135" s="3">
        <v>45</v>
      </c>
      <c r="H135" s="4">
        <v>40984.800000000003</v>
      </c>
      <c r="I135" t="s">
        <v>3</v>
      </c>
      <c r="J135" s="6">
        <v>1400000002</v>
      </c>
      <c r="K135" t="s">
        <v>0</v>
      </c>
      <c r="L135" s="3">
        <v>3476</v>
      </c>
      <c r="M135" s="3">
        <v>3445</v>
      </c>
      <c r="N135" s="6">
        <v>140000</v>
      </c>
      <c r="O135" s="6">
        <v>1032</v>
      </c>
      <c r="P135">
        <v>-76</v>
      </c>
      <c r="Q135" t="s">
        <v>28</v>
      </c>
    </row>
    <row r="136" spans="1:17" ht="13.95" customHeight="1" outlineLevel="3" x14ac:dyDescent="0.25">
      <c r="A136" t="s">
        <v>1</v>
      </c>
      <c r="B136" s="2">
        <v>40564</v>
      </c>
      <c r="C136" s="2">
        <v>40564</v>
      </c>
      <c r="D136" s="2">
        <v>40609</v>
      </c>
      <c r="E136" s="2"/>
      <c r="F136" t="s">
        <v>2</v>
      </c>
      <c r="G136" s="3">
        <v>45</v>
      </c>
      <c r="H136" s="4">
        <v>23263.8</v>
      </c>
      <c r="I136" t="s">
        <v>3</v>
      </c>
      <c r="J136" s="6">
        <v>1400000001</v>
      </c>
      <c r="K136" t="s">
        <v>0</v>
      </c>
      <c r="L136" s="3">
        <v>3476</v>
      </c>
      <c r="M136" s="3">
        <v>3445</v>
      </c>
      <c r="N136" s="6">
        <v>140000</v>
      </c>
      <c r="O136" s="6">
        <v>1032</v>
      </c>
      <c r="P136">
        <v>-76</v>
      </c>
      <c r="Q136" t="s">
        <v>28</v>
      </c>
    </row>
    <row r="137" spans="1:17" ht="13.95" customHeight="1" outlineLevel="3" x14ac:dyDescent="0.25">
      <c r="A137" t="s">
        <v>1</v>
      </c>
      <c r="B137" s="2">
        <v>40564</v>
      </c>
      <c r="C137" s="2">
        <v>40564</v>
      </c>
      <c r="D137" s="2">
        <v>40609</v>
      </c>
      <c r="E137" s="2"/>
      <c r="F137" t="s">
        <v>2</v>
      </c>
      <c r="G137" s="3">
        <v>45</v>
      </c>
      <c r="H137" s="4">
        <v>30371</v>
      </c>
      <c r="I137" t="s">
        <v>3</v>
      </c>
      <c r="J137" s="6">
        <v>1400000000</v>
      </c>
      <c r="K137" t="s">
        <v>0</v>
      </c>
      <c r="L137" s="3">
        <v>3476</v>
      </c>
      <c r="M137" s="3">
        <v>3445</v>
      </c>
      <c r="N137" s="6">
        <v>140000</v>
      </c>
      <c r="O137" s="6">
        <v>1032</v>
      </c>
      <c r="P137">
        <v>-76</v>
      </c>
      <c r="Q137" t="s">
        <v>28</v>
      </c>
    </row>
    <row r="138" spans="1:17" ht="13.95" customHeight="1" outlineLevel="3" x14ac:dyDescent="0.25">
      <c r="A138" t="s">
        <v>1</v>
      </c>
      <c r="B138" s="2">
        <v>40514</v>
      </c>
      <c r="C138" s="2">
        <v>40514</v>
      </c>
      <c r="D138" s="2">
        <v>40559</v>
      </c>
      <c r="E138" s="2"/>
      <c r="F138" t="s">
        <v>2</v>
      </c>
      <c r="G138" s="3">
        <v>45</v>
      </c>
      <c r="H138" s="4">
        <v>44400.2</v>
      </c>
      <c r="I138" t="s">
        <v>3</v>
      </c>
      <c r="J138" s="6">
        <v>1400000342</v>
      </c>
      <c r="K138" t="s">
        <v>0</v>
      </c>
      <c r="L138" s="3">
        <v>3526</v>
      </c>
      <c r="M138" s="3">
        <v>3495</v>
      </c>
      <c r="N138" s="6">
        <v>140000</v>
      </c>
      <c r="O138" s="6">
        <v>1032</v>
      </c>
      <c r="P138">
        <v>349</v>
      </c>
      <c r="Q138" t="s">
        <v>31</v>
      </c>
    </row>
    <row r="139" spans="1:17" ht="13.95" customHeight="1" outlineLevel="3" x14ac:dyDescent="0.25">
      <c r="A139" t="s">
        <v>1</v>
      </c>
      <c r="B139" s="2">
        <v>40514</v>
      </c>
      <c r="C139" s="2">
        <v>40514</v>
      </c>
      <c r="D139" s="2">
        <v>40559</v>
      </c>
      <c r="E139" s="2"/>
      <c r="F139" t="s">
        <v>2</v>
      </c>
      <c r="G139" s="3">
        <v>45</v>
      </c>
      <c r="H139" s="4">
        <v>29910.6</v>
      </c>
      <c r="I139" t="s">
        <v>3</v>
      </c>
      <c r="J139" s="6">
        <v>1400000341</v>
      </c>
      <c r="K139" t="s">
        <v>0</v>
      </c>
      <c r="L139" s="3">
        <v>3526</v>
      </c>
      <c r="M139" s="3">
        <v>3495</v>
      </c>
      <c r="N139" s="6">
        <v>140000</v>
      </c>
      <c r="O139" s="6">
        <v>1032</v>
      </c>
      <c r="P139">
        <v>349</v>
      </c>
      <c r="Q139" t="s">
        <v>31</v>
      </c>
    </row>
    <row r="140" spans="1:17" ht="13.95" customHeight="1" outlineLevel="3" x14ac:dyDescent="0.25">
      <c r="A140" t="s">
        <v>1</v>
      </c>
      <c r="B140" s="2">
        <v>40514</v>
      </c>
      <c r="C140" s="2">
        <v>40514</v>
      </c>
      <c r="D140" s="2">
        <v>40559</v>
      </c>
      <c r="E140" s="2"/>
      <c r="F140" t="s">
        <v>2</v>
      </c>
      <c r="G140" s="3">
        <v>45</v>
      </c>
      <c r="H140" s="4">
        <v>33408.1</v>
      </c>
      <c r="I140" t="s">
        <v>3</v>
      </c>
      <c r="J140" s="6">
        <v>1400000340</v>
      </c>
      <c r="K140" t="s">
        <v>0</v>
      </c>
      <c r="L140" s="3">
        <v>3526</v>
      </c>
      <c r="M140" s="3">
        <v>3495</v>
      </c>
      <c r="N140" s="6">
        <v>140000</v>
      </c>
      <c r="O140" s="6">
        <v>1032</v>
      </c>
      <c r="P140">
        <v>349</v>
      </c>
      <c r="Q140" t="s">
        <v>31</v>
      </c>
    </row>
    <row r="141" spans="1:17" ht="13.95" customHeight="1" outlineLevel="3" x14ac:dyDescent="0.25">
      <c r="A141" t="s">
        <v>1</v>
      </c>
      <c r="B141" s="2">
        <v>40484</v>
      </c>
      <c r="C141" s="2">
        <v>40484</v>
      </c>
      <c r="D141" s="2">
        <v>40529</v>
      </c>
      <c r="E141" s="2"/>
      <c r="F141" t="s">
        <v>2</v>
      </c>
      <c r="G141" s="3">
        <v>45</v>
      </c>
      <c r="H141" s="4">
        <v>47815.6</v>
      </c>
      <c r="I141" t="s">
        <v>3</v>
      </c>
      <c r="J141" s="6">
        <v>1400000304</v>
      </c>
      <c r="K141" t="s">
        <v>0</v>
      </c>
      <c r="L141" s="3">
        <v>3556</v>
      </c>
      <c r="M141" s="3">
        <v>3525</v>
      </c>
      <c r="N141" s="6">
        <v>140000</v>
      </c>
      <c r="O141" s="6">
        <v>1032</v>
      </c>
      <c r="P141">
        <v>379</v>
      </c>
      <c r="Q141" t="s">
        <v>32</v>
      </c>
    </row>
    <row r="142" spans="1:17" ht="13.95" customHeight="1" outlineLevel="3" x14ac:dyDescent="0.25">
      <c r="A142" t="s">
        <v>1</v>
      </c>
      <c r="B142" s="2">
        <v>40484</v>
      </c>
      <c r="C142" s="2">
        <v>40484</v>
      </c>
      <c r="D142" s="2">
        <v>40529</v>
      </c>
      <c r="E142" s="2"/>
      <c r="F142" t="s">
        <v>2</v>
      </c>
      <c r="G142" s="3">
        <v>45</v>
      </c>
      <c r="H142" s="4">
        <v>33234</v>
      </c>
      <c r="I142" t="s">
        <v>3</v>
      </c>
      <c r="J142" s="6">
        <v>1400000303</v>
      </c>
      <c r="K142" t="s">
        <v>0</v>
      </c>
      <c r="L142" s="3">
        <v>3556</v>
      </c>
      <c r="M142" s="3">
        <v>3525</v>
      </c>
      <c r="N142" s="6">
        <v>140000</v>
      </c>
      <c r="O142" s="6">
        <v>1032</v>
      </c>
      <c r="P142">
        <v>379</v>
      </c>
      <c r="Q142" t="s">
        <v>32</v>
      </c>
    </row>
    <row r="143" spans="1:17" ht="13.95" customHeight="1" outlineLevel="3" x14ac:dyDescent="0.25">
      <c r="A143" t="s">
        <v>1</v>
      </c>
      <c r="B143" s="2">
        <v>40484</v>
      </c>
      <c r="C143" s="2">
        <v>40484</v>
      </c>
      <c r="D143" s="2">
        <v>40529</v>
      </c>
      <c r="E143" s="2"/>
      <c r="F143" t="s">
        <v>2</v>
      </c>
      <c r="G143" s="3">
        <v>45</v>
      </c>
      <c r="H143" s="4">
        <v>27333.9</v>
      </c>
      <c r="I143" t="s">
        <v>3</v>
      </c>
      <c r="J143" s="6">
        <v>1400000302</v>
      </c>
      <c r="K143" t="s">
        <v>0</v>
      </c>
      <c r="L143" s="3">
        <v>3556</v>
      </c>
      <c r="M143" s="3">
        <v>3525</v>
      </c>
      <c r="N143" s="6">
        <v>140000</v>
      </c>
      <c r="O143" s="6">
        <v>1032</v>
      </c>
      <c r="P143">
        <v>379</v>
      </c>
      <c r="Q143" t="s">
        <v>32</v>
      </c>
    </row>
    <row r="144" spans="1:17" ht="13.95" customHeight="1" outlineLevel="3" x14ac:dyDescent="0.25">
      <c r="A144" t="s">
        <v>1</v>
      </c>
      <c r="B144" s="2">
        <v>40459</v>
      </c>
      <c r="C144" s="2">
        <v>40459</v>
      </c>
      <c r="D144" s="2">
        <v>40504</v>
      </c>
      <c r="E144" s="2"/>
      <c r="F144" t="s">
        <v>2</v>
      </c>
      <c r="G144" s="3">
        <v>45</v>
      </c>
      <c r="H144" s="4">
        <v>51231</v>
      </c>
      <c r="I144" t="s">
        <v>3</v>
      </c>
      <c r="J144" s="6">
        <v>1400000273</v>
      </c>
      <c r="K144" t="s">
        <v>0</v>
      </c>
      <c r="L144" s="3">
        <v>3581</v>
      </c>
      <c r="M144" s="3">
        <v>3550</v>
      </c>
      <c r="N144" s="6">
        <v>140000</v>
      </c>
      <c r="O144" s="6">
        <v>1032</v>
      </c>
      <c r="P144">
        <v>404</v>
      </c>
      <c r="Q144" t="s">
        <v>32</v>
      </c>
    </row>
    <row r="145" spans="1:17" ht="13.95" customHeight="1" outlineLevel="3" x14ac:dyDescent="0.25">
      <c r="A145" t="s">
        <v>1</v>
      </c>
      <c r="B145" s="2">
        <v>40459</v>
      </c>
      <c r="C145" s="2">
        <v>40459</v>
      </c>
      <c r="D145" s="2">
        <v>40504</v>
      </c>
      <c r="E145" s="2"/>
      <c r="F145" t="s">
        <v>2</v>
      </c>
      <c r="G145" s="3">
        <v>45</v>
      </c>
      <c r="H145" s="4">
        <v>36557.4</v>
      </c>
      <c r="I145" t="s">
        <v>3</v>
      </c>
      <c r="J145" s="6">
        <v>1400000272</v>
      </c>
      <c r="K145" t="s">
        <v>0</v>
      </c>
      <c r="L145" s="3">
        <v>3581</v>
      </c>
      <c r="M145" s="3">
        <v>3550</v>
      </c>
      <c r="N145" s="6">
        <v>140000</v>
      </c>
      <c r="O145" s="6">
        <v>1032</v>
      </c>
      <c r="P145">
        <v>404</v>
      </c>
      <c r="Q145" t="s">
        <v>32</v>
      </c>
    </row>
    <row r="146" spans="1:17" ht="13.95" customHeight="1" outlineLevel="3" x14ac:dyDescent="0.25">
      <c r="A146" t="s">
        <v>1</v>
      </c>
      <c r="B146" s="2">
        <v>40459</v>
      </c>
      <c r="C146" s="2">
        <v>40459</v>
      </c>
      <c r="D146" s="2">
        <v>40504</v>
      </c>
      <c r="E146" s="2"/>
      <c r="F146" t="s">
        <v>2</v>
      </c>
      <c r="G146" s="3">
        <v>45</v>
      </c>
      <c r="H146" s="4">
        <v>21259.7</v>
      </c>
      <c r="I146" t="s">
        <v>3</v>
      </c>
      <c r="J146" s="6">
        <v>1400000271</v>
      </c>
      <c r="K146" t="s">
        <v>0</v>
      </c>
      <c r="L146" s="3">
        <v>3581</v>
      </c>
      <c r="M146" s="3">
        <v>3550</v>
      </c>
      <c r="N146" s="6">
        <v>140000</v>
      </c>
      <c r="O146" s="6">
        <v>1032</v>
      </c>
      <c r="P146">
        <v>404</v>
      </c>
      <c r="Q146" t="s">
        <v>32</v>
      </c>
    </row>
    <row r="147" spans="1:17" ht="13.95" customHeight="1" outlineLevel="3" x14ac:dyDescent="0.25">
      <c r="A147" t="s">
        <v>1</v>
      </c>
      <c r="B147" s="2">
        <v>40428</v>
      </c>
      <c r="C147" s="2">
        <v>40428</v>
      </c>
      <c r="D147" s="2">
        <v>40473</v>
      </c>
      <c r="E147" s="2"/>
      <c r="F147" t="s">
        <v>2</v>
      </c>
      <c r="G147" s="3">
        <v>45</v>
      </c>
      <c r="H147" s="4">
        <v>44400.2</v>
      </c>
      <c r="I147" t="s">
        <v>3</v>
      </c>
      <c r="J147" s="6">
        <v>1400000226</v>
      </c>
      <c r="K147" t="s">
        <v>0</v>
      </c>
      <c r="L147" s="3">
        <v>3612</v>
      </c>
      <c r="M147" s="3">
        <v>3581</v>
      </c>
      <c r="N147" s="6">
        <v>140000</v>
      </c>
      <c r="O147" s="6">
        <v>1032</v>
      </c>
      <c r="P147">
        <v>435</v>
      </c>
      <c r="Q147" t="s">
        <v>32</v>
      </c>
    </row>
    <row r="148" spans="1:17" ht="13.95" customHeight="1" outlineLevel="3" x14ac:dyDescent="0.25">
      <c r="A148" t="s">
        <v>1</v>
      </c>
      <c r="B148" s="2">
        <v>40428</v>
      </c>
      <c r="C148" s="2">
        <v>40428</v>
      </c>
      <c r="D148" s="2">
        <v>40473</v>
      </c>
      <c r="E148" s="2"/>
      <c r="F148" t="s">
        <v>2</v>
      </c>
      <c r="G148" s="3">
        <v>45</v>
      </c>
      <c r="H148" s="4">
        <v>46527.6</v>
      </c>
      <c r="I148" t="s">
        <v>3</v>
      </c>
      <c r="J148" s="6">
        <v>1400000225</v>
      </c>
      <c r="K148" t="s">
        <v>0</v>
      </c>
      <c r="L148" s="3">
        <v>3612</v>
      </c>
      <c r="M148" s="3">
        <v>3581</v>
      </c>
      <c r="N148" s="6">
        <v>140000</v>
      </c>
      <c r="O148" s="6">
        <v>1032</v>
      </c>
      <c r="P148">
        <v>435</v>
      </c>
      <c r="Q148" t="s">
        <v>32</v>
      </c>
    </row>
    <row r="149" spans="1:17" ht="13.95" customHeight="1" outlineLevel="3" x14ac:dyDescent="0.25">
      <c r="A149" t="s">
        <v>1</v>
      </c>
      <c r="B149" s="2">
        <v>40428</v>
      </c>
      <c r="C149" s="2">
        <v>40428</v>
      </c>
      <c r="D149" s="2">
        <v>40473</v>
      </c>
      <c r="E149" s="2"/>
      <c r="F149" t="s">
        <v>2</v>
      </c>
      <c r="G149" s="3">
        <v>45</v>
      </c>
      <c r="H149" s="4">
        <v>18222.599999999999</v>
      </c>
      <c r="I149" t="s">
        <v>3</v>
      </c>
      <c r="J149" s="6">
        <v>1400000224</v>
      </c>
      <c r="K149" t="s">
        <v>0</v>
      </c>
      <c r="L149" s="3">
        <v>3612</v>
      </c>
      <c r="M149" s="3">
        <v>3581</v>
      </c>
      <c r="N149" s="6">
        <v>140000</v>
      </c>
      <c r="O149" s="6">
        <v>1032</v>
      </c>
      <c r="P149">
        <v>435</v>
      </c>
      <c r="Q149" t="s">
        <v>32</v>
      </c>
    </row>
    <row r="150" spans="1:17" ht="13.95" customHeight="1" outlineLevel="3" x14ac:dyDescent="0.25">
      <c r="A150" t="s">
        <v>1</v>
      </c>
      <c r="B150" s="2">
        <v>40406</v>
      </c>
      <c r="C150" s="2">
        <v>40406</v>
      </c>
      <c r="D150" s="2">
        <v>40451</v>
      </c>
      <c r="E150" s="2"/>
      <c r="F150" t="s">
        <v>2</v>
      </c>
      <c r="G150" s="3">
        <v>45</v>
      </c>
      <c r="H150" s="4">
        <v>37569.4</v>
      </c>
      <c r="I150" t="s">
        <v>3</v>
      </c>
      <c r="J150" s="6">
        <v>1400000154</v>
      </c>
      <c r="K150" t="s">
        <v>0</v>
      </c>
      <c r="L150" s="3">
        <v>3634</v>
      </c>
      <c r="M150" s="3">
        <v>3603</v>
      </c>
      <c r="N150" s="6">
        <v>140000</v>
      </c>
      <c r="O150" s="6">
        <v>1032</v>
      </c>
      <c r="P150">
        <v>803</v>
      </c>
      <c r="Q150" t="s">
        <v>32</v>
      </c>
    </row>
    <row r="151" spans="1:17" ht="13.95" customHeight="1" outlineLevel="3" x14ac:dyDescent="0.25">
      <c r="A151" t="s">
        <v>1</v>
      </c>
      <c r="B151" s="2">
        <v>40406</v>
      </c>
      <c r="C151" s="2">
        <v>40406</v>
      </c>
      <c r="D151" s="2">
        <v>40451</v>
      </c>
      <c r="E151" s="2"/>
      <c r="F151" t="s">
        <v>2</v>
      </c>
      <c r="G151" s="3">
        <v>45</v>
      </c>
      <c r="H151" s="4">
        <v>49851</v>
      </c>
      <c r="I151" t="s">
        <v>3</v>
      </c>
      <c r="J151" s="6">
        <v>1400000153</v>
      </c>
      <c r="K151" t="s">
        <v>0</v>
      </c>
      <c r="L151" s="3">
        <v>3634</v>
      </c>
      <c r="M151" s="3">
        <v>3603</v>
      </c>
      <c r="N151" s="6">
        <v>140000</v>
      </c>
      <c r="O151" s="6">
        <v>1032</v>
      </c>
      <c r="P151">
        <v>803</v>
      </c>
      <c r="Q151" t="s">
        <v>32</v>
      </c>
    </row>
    <row r="152" spans="1:17" ht="13.95" customHeight="1" outlineLevel="3" x14ac:dyDescent="0.25">
      <c r="A152" t="s">
        <v>1</v>
      </c>
      <c r="B152" s="2">
        <v>40406</v>
      </c>
      <c r="C152" s="2">
        <v>40406</v>
      </c>
      <c r="D152" s="2">
        <v>40451</v>
      </c>
      <c r="E152" s="2"/>
      <c r="F152" t="s">
        <v>2</v>
      </c>
      <c r="G152" s="3">
        <v>45</v>
      </c>
      <c r="H152" s="4">
        <v>15185.5</v>
      </c>
      <c r="I152" t="s">
        <v>3</v>
      </c>
      <c r="J152" s="6">
        <v>1400000152</v>
      </c>
      <c r="K152" t="s">
        <v>0</v>
      </c>
      <c r="L152" s="3">
        <v>3634</v>
      </c>
      <c r="M152" s="3">
        <v>3603</v>
      </c>
      <c r="N152" s="6">
        <v>140000</v>
      </c>
      <c r="O152" s="6">
        <v>1032</v>
      </c>
      <c r="P152">
        <v>803</v>
      </c>
      <c r="Q152" t="s">
        <v>32</v>
      </c>
    </row>
    <row r="153" spans="1:17" ht="13.95" customHeight="1" outlineLevel="3" x14ac:dyDescent="0.25">
      <c r="A153" t="s">
        <v>1</v>
      </c>
      <c r="B153" s="2">
        <v>40364</v>
      </c>
      <c r="C153" s="2">
        <v>40364</v>
      </c>
      <c r="D153" s="2">
        <v>40409</v>
      </c>
      <c r="E153" s="2"/>
      <c r="F153" t="s">
        <v>2</v>
      </c>
      <c r="G153" s="3">
        <v>45</v>
      </c>
      <c r="H153" s="4">
        <v>23907.8</v>
      </c>
      <c r="I153" t="s">
        <v>3</v>
      </c>
      <c r="J153" s="6">
        <v>1400000130</v>
      </c>
      <c r="K153" t="s">
        <v>0</v>
      </c>
      <c r="L153" s="3">
        <v>3676</v>
      </c>
      <c r="M153" s="3">
        <v>3645</v>
      </c>
      <c r="N153" s="6">
        <v>140000</v>
      </c>
      <c r="O153" s="6">
        <v>1032</v>
      </c>
      <c r="P153">
        <v>499</v>
      </c>
      <c r="Q153" t="s">
        <v>32</v>
      </c>
    </row>
    <row r="154" spans="1:17" ht="13.95" customHeight="1" outlineLevel="3" x14ac:dyDescent="0.25">
      <c r="A154" t="s">
        <v>1</v>
      </c>
      <c r="B154" s="2">
        <v>40364</v>
      </c>
      <c r="C154" s="2">
        <v>40364</v>
      </c>
      <c r="D154" s="2">
        <v>40409</v>
      </c>
      <c r="E154" s="2"/>
      <c r="F154" t="s">
        <v>2</v>
      </c>
      <c r="G154" s="3">
        <v>45</v>
      </c>
      <c r="H154" s="4">
        <v>49851</v>
      </c>
      <c r="I154" t="s">
        <v>3</v>
      </c>
      <c r="J154" s="6">
        <v>1400000129</v>
      </c>
      <c r="K154" t="s">
        <v>0</v>
      </c>
      <c r="L154" s="3">
        <v>3676</v>
      </c>
      <c r="M154" s="3">
        <v>3645</v>
      </c>
      <c r="N154" s="6">
        <v>140000</v>
      </c>
      <c r="O154" s="6">
        <v>1032</v>
      </c>
      <c r="P154">
        <v>499</v>
      </c>
      <c r="Q154" t="s">
        <v>32</v>
      </c>
    </row>
    <row r="155" spans="1:17" ht="13.95" customHeight="1" outlineLevel="3" x14ac:dyDescent="0.25">
      <c r="A155" t="s">
        <v>1</v>
      </c>
      <c r="B155" s="2">
        <v>40364</v>
      </c>
      <c r="C155" s="2">
        <v>40364</v>
      </c>
      <c r="D155" s="2">
        <v>40409</v>
      </c>
      <c r="E155" s="2"/>
      <c r="F155" t="s">
        <v>2</v>
      </c>
      <c r="G155" s="3">
        <v>45</v>
      </c>
      <c r="H155" s="4">
        <v>18222.599999999999</v>
      </c>
      <c r="I155" t="s">
        <v>3</v>
      </c>
      <c r="J155" s="6">
        <v>1400000128</v>
      </c>
      <c r="K155" t="s">
        <v>0</v>
      </c>
      <c r="L155" s="3">
        <v>3676</v>
      </c>
      <c r="M155" s="3">
        <v>3645</v>
      </c>
      <c r="N155" s="6">
        <v>140000</v>
      </c>
      <c r="O155" s="6">
        <v>1032</v>
      </c>
      <c r="P155">
        <v>499</v>
      </c>
      <c r="Q155" t="s">
        <v>32</v>
      </c>
    </row>
    <row r="156" spans="1:17" ht="13.95" customHeight="1" outlineLevel="3" x14ac:dyDescent="0.25">
      <c r="A156" t="s">
        <v>1</v>
      </c>
      <c r="B156" s="2">
        <v>40331</v>
      </c>
      <c r="C156" s="2">
        <v>40331</v>
      </c>
      <c r="D156" s="2">
        <v>40376</v>
      </c>
      <c r="E156" s="2"/>
      <c r="F156" t="s">
        <v>2</v>
      </c>
      <c r="G156" s="3">
        <v>45</v>
      </c>
      <c r="H156" s="4">
        <v>17077</v>
      </c>
      <c r="I156" t="s">
        <v>3</v>
      </c>
      <c r="J156" s="6">
        <v>1400000047</v>
      </c>
      <c r="K156" t="s">
        <v>0</v>
      </c>
      <c r="L156" s="3">
        <v>3709</v>
      </c>
      <c r="M156" s="3">
        <v>3678</v>
      </c>
      <c r="N156" s="6">
        <v>140000</v>
      </c>
      <c r="O156" s="6">
        <v>1032</v>
      </c>
      <c r="P156">
        <v>161</v>
      </c>
      <c r="Q156" t="s">
        <v>30</v>
      </c>
    </row>
    <row r="157" spans="1:17" ht="13.95" customHeight="1" outlineLevel="3" x14ac:dyDescent="0.25">
      <c r="A157" t="s">
        <v>1</v>
      </c>
      <c r="B157" s="2">
        <v>40331</v>
      </c>
      <c r="C157" s="2">
        <v>40331</v>
      </c>
      <c r="D157" s="2">
        <v>40376</v>
      </c>
      <c r="E157" s="2"/>
      <c r="F157" t="s">
        <v>2</v>
      </c>
      <c r="G157" s="3">
        <v>45</v>
      </c>
      <c r="H157" s="4">
        <v>53174.400000000001</v>
      </c>
      <c r="I157" t="s">
        <v>3</v>
      </c>
      <c r="J157" s="6">
        <v>1400000046</v>
      </c>
      <c r="K157" t="s">
        <v>0</v>
      </c>
      <c r="L157" s="3">
        <v>3709</v>
      </c>
      <c r="M157" s="3">
        <v>3678</v>
      </c>
      <c r="N157" s="6">
        <v>140000</v>
      </c>
      <c r="O157" s="6">
        <v>1032</v>
      </c>
      <c r="P157">
        <v>161</v>
      </c>
      <c r="Q157" t="s">
        <v>30</v>
      </c>
    </row>
    <row r="158" spans="1:17" ht="13.95" customHeight="1" outlineLevel="3" x14ac:dyDescent="0.25">
      <c r="A158" t="s">
        <v>1</v>
      </c>
      <c r="B158" s="2">
        <v>40331</v>
      </c>
      <c r="C158" s="2">
        <v>40331</v>
      </c>
      <c r="D158" s="2">
        <v>40376</v>
      </c>
      <c r="E158" s="2"/>
      <c r="F158" t="s">
        <v>2</v>
      </c>
      <c r="G158" s="3">
        <v>45</v>
      </c>
      <c r="H158" s="4">
        <v>27333.9</v>
      </c>
      <c r="I158" t="s">
        <v>3</v>
      </c>
      <c r="J158" s="6">
        <v>1400000045</v>
      </c>
      <c r="K158" t="s">
        <v>0</v>
      </c>
      <c r="L158" s="3">
        <v>3709</v>
      </c>
      <c r="M158" s="3">
        <v>3678</v>
      </c>
      <c r="N158" s="6">
        <v>140000</v>
      </c>
      <c r="O158" s="6">
        <v>1032</v>
      </c>
      <c r="P158">
        <v>-585</v>
      </c>
      <c r="Q158" t="s">
        <v>28</v>
      </c>
    </row>
    <row r="159" spans="1:17" ht="13.95" customHeight="1" outlineLevel="3" x14ac:dyDescent="0.25">
      <c r="A159" t="s">
        <v>1</v>
      </c>
      <c r="B159" s="2">
        <v>40301</v>
      </c>
      <c r="C159" s="2">
        <v>40301</v>
      </c>
      <c r="D159" s="2">
        <v>40346</v>
      </c>
      <c r="E159" s="2"/>
      <c r="F159" t="s">
        <v>2</v>
      </c>
      <c r="G159" s="3">
        <v>45</v>
      </c>
      <c r="H159" s="4">
        <v>20492.400000000001</v>
      </c>
      <c r="I159" t="s">
        <v>3</v>
      </c>
      <c r="J159" s="6">
        <v>1400000038</v>
      </c>
      <c r="K159" t="s">
        <v>0</v>
      </c>
      <c r="L159" s="3">
        <v>3739</v>
      </c>
      <c r="M159" s="3">
        <v>3708</v>
      </c>
      <c r="N159" s="6">
        <v>140000</v>
      </c>
      <c r="O159" s="6">
        <v>1032</v>
      </c>
      <c r="P159">
        <v>189</v>
      </c>
      <c r="Q159" t="s">
        <v>31</v>
      </c>
    </row>
    <row r="160" spans="1:17" ht="13.95" customHeight="1" outlineLevel="3" x14ac:dyDescent="0.25">
      <c r="A160" t="s">
        <v>1</v>
      </c>
      <c r="B160" s="2">
        <v>40301</v>
      </c>
      <c r="C160" s="2">
        <v>40301</v>
      </c>
      <c r="D160" s="2">
        <v>40346</v>
      </c>
      <c r="E160" s="2"/>
      <c r="F160" t="s">
        <v>2</v>
      </c>
      <c r="G160" s="3">
        <v>45</v>
      </c>
      <c r="H160" s="4">
        <v>43204.2</v>
      </c>
      <c r="I160" t="s">
        <v>3</v>
      </c>
      <c r="J160" s="6">
        <v>1400000037</v>
      </c>
      <c r="K160" t="s">
        <v>0</v>
      </c>
      <c r="L160" s="3">
        <v>3739</v>
      </c>
      <c r="M160" s="3">
        <v>3708</v>
      </c>
      <c r="N160" s="6">
        <v>140000</v>
      </c>
      <c r="O160" s="6">
        <v>1032</v>
      </c>
      <c r="P160">
        <v>189</v>
      </c>
      <c r="Q160" t="s">
        <v>31</v>
      </c>
    </row>
    <row r="161" spans="1:17" ht="13.95" customHeight="1" outlineLevel="3" x14ac:dyDescent="0.25">
      <c r="A161" t="s">
        <v>1</v>
      </c>
      <c r="B161" s="2">
        <v>40301</v>
      </c>
      <c r="C161" s="2">
        <v>40301</v>
      </c>
      <c r="D161" s="2">
        <v>40346</v>
      </c>
      <c r="E161" s="2"/>
      <c r="F161" t="s">
        <v>2</v>
      </c>
      <c r="G161" s="3">
        <v>45</v>
      </c>
      <c r="H161" s="4">
        <v>36445.199999999997</v>
      </c>
      <c r="I161" t="s">
        <v>3</v>
      </c>
      <c r="J161" s="6">
        <v>1400000036</v>
      </c>
      <c r="K161" t="s">
        <v>0</v>
      </c>
      <c r="L161" s="3">
        <v>3739</v>
      </c>
      <c r="M161" s="3">
        <v>3708</v>
      </c>
      <c r="N161" s="6">
        <v>140000</v>
      </c>
      <c r="O161" s="6">
        <v>1032</v>
      </c>
      <c r="P161">
        <v>-532</v>
      </c>
      <c r="Q161" t="s">
        <v>28</v>
      </c>
    </row>
    <row r="162" spans="1:17" ht="13.95" customHeight="1" outlineLevel="3" x14ac:dyDescent="0.25">
      <c r="A162" t="s">
        <v>1</v>
      </c>
      <c r="B162" s="2">
        <v>40274</v>
      </c>
      <c r="C162" s="2">
        <v>40274</v>
      </c>
      <c r="D162" s="2">
        <v>40319</v>
      </c>
      <c r="E162" s="2"/>
      <c r="F162" t="s">
        <v>2</v>
      </c>
      <c r="G162" s="3">
        <v>45</v>
      </c>
      <c r="H162" s="4">
        <v>23907.8</v>
      </c>
      <c r="I162" t="s">
        <v>3</v>
      </c>
      <c r="J162" s="6">
        <v>1400000029</v>
      </c>
      <c r="K162" t="s">
        <v>0</v>
      </c>
      <c r="L162" s="3">
        <v>3766</v>
      </c>
      <c r="M162" s="3">
        <v>3735</v>
      </c>
      <c r="N162" s="6">
        <v>140000</v>
      </c>
      <c r="O162" s="6">
        <v>1032</v>
      </c>
      <c r="P162">
        <v>-148</v>
      </c>
      <c r="Q162" t="s">
        <v>28</v>
      </c>
    </row>
    <row r="163" spans="1:17" ht="13.95" customHeight="1" outlineLevel="3" x14ac:dyDescent="0.25">
      <c r="A163" t="s">
        <v>1</v>
      </c>
      <c r="B163" s="2">
        <v>40274</v>
      </c>
      <c r="C163" s="2">
        <v>40274</v>
      </c>
      <c r="D163" s="2">
        <v>40319</v>
      </c>
      <c r="E163" s="2"/>
      <c r="F163" t="s">
        <v>2</v>
      </c>
      <c r="G163" s="3">
        <v>45</v>
      </c>
      <c r="H163" s="4">
        <v>36557.4</v>
      </c>
      <c r="I163" t="s">
        <v>3</v>
      </c>
      <c r="J163" s="6">
        <v>1400000028</v>
      </c>
      <c r="K163" t="s">
        <v>0</v>
      </c>
      <c r="L163" s="3">
        <v>3766</v>
      </c>
      <c r="M163" s="3">
        <v>3735</v>
      </c>
      <c r="N163" s="6">
        <v>140000</v>
      </c>
      <c r="O163" s="6">
        <v>1032</v>
      </c>
      <c r="P163">
        <v>-148</v>
      </c>
      <c r="Q163" t="s">
        <v>28</v>
      </c>
    </row>
    <row r="164" spans="1:17" ht="13.95" customHeight="1" outlineLevel="3" x14ac:dyDescent="0.25">
      <c r="A164" t="s">
        <v>1</v>
      </c>
      <c r="B164" s="2">
        <v>40274</v>
      </c>
      <c r="C164" s="2">
        <v>40274</v>
      </c>
      <c r="D164" s="2">
        <v>40319</v>
      </c>
      <c r="E164" s="2"/>
      <c r="F164" t="s">
        <v>2</v>
      </c>
      <c r="G164" s="3">
        <v>45</v>
      </c>
      <c r="H164" s="4">
        <v>36445.199999999997</v>
      </c>
      <c r="I164" t="s">
        <v>3</v>
      </c>
      <c r="J164" s="6">
        <v>1400000027</v>
      </c>
      <c r="K164" t="s">
        <v>0</v>
      </c>
      <c r="L164" s="3">
        <v>3766</v>
      </c>
      <c r="M164" s="3">
        <v>3735</v>
      </c>
      <c r="N164" s="6">
        <v>140000</v>
      </c>
      <c r="O164" s="6">
        <v>1032</v>
      </c>
      <c r="P164">
        <v>-148</v>
      </c>
      <c r="Q164" t="s">
        <v>28</v>
      </c>
    </row>
    <row r="165" spans="1:17" ht="13.95" customHeight="1" outlineLevel="3" x14ac:dyDescent="0.25">
      <c r="A165" t="s">
        <v>1</v>
      </c>
      <c r="B165" s="2">
        <v>40238</v>
      </c>
      <c r="C165" s="2">
        <v>40238</v>
      </c>
      <c r="D165" s="2">
        <v>40283</v>
      </c>
      <c r="E165" s="2"/>
      <c r="F165" t="s">
        <v>2</v>
      </c>
      <c r="G165" s="3">
        <v>45</v>
      </c>
      <c r="H165" s="4">
        <v>30738.6</v>
      </c>
      <c r="I165" t="s">
        <v>3</v>
      </c>
      <c r="J165" s="6">
        <v>1400000020</v>
      </c>
      <c r="K165" t="s">
        <v>0</v>
      </c>
      <c r="L165" s="3">
        <v>3802</v>
      </c>
      <c r="M165" s="3">
        <v>3771</v>
      </c>
      <c r="N165" s="6">
        <v>140000</v>
      </c>
      <c r="O165" s="6">
        <v>1032</v>
      </c>
      <c r="P165">
        <v>-110</v>
      </c>
      <c r="Q165" t="s">
        <v>28</v>
      </c>
    </row>
    <row r="166" spans="1:17" ht="13.95" customHeight="1" outlineLevel="3" x14ac:dyDescent="0.25">
      <c r="A166" t="s">
        <v>1</v>
      </c>
      <c r="B166" s="2">
        <v>40238</v>
      </c>
      <c r="C166" s="2">
        <v>40238</v>
      </c>
      <c r="D166" s="2">
        <v>40283</v>
      </c>
      <c r="E166" s="2"/>
      <c r="F166" t="s">
        <v>2</v>
      </c>
      <c r="G166" s="3">
        <v>45</v>
      </c>
      <c r="H166" s="4">
        <v>29910.6</v>
      </c>
      <c r="I166" t="s">
        <v>3</v>
      </c>
      <c r="J166" s="6">
        <v>1400000019</v>
      </c>
      <c r="K166" t="s">
        <v>0</v>
      </c>
      <c r="L166" s="3">
        <v>3802</v>
      </c>
      <c r="M166" s="3">
        <v>3771</v>
      </c>
      <c r="N166" s="6">
        <v>140000</v>
      </c>
      <c r="O166" s="6">
        <v>1032</v>
      </c>
      <c r="P166">
        <v>-110</v>
      </c>
      <c r="Q166" t="s">
        <v>28</v>
      </c>
    </row>
    <row r="167" spans="1:17" ht="13.95" customHeight="1" outlineLevel="3" x14ac:dyDescent="0.25">
      <c r="A167" t="s">
        <v>1</v>
      </c>
      <c r="B167" s="2">
        <v>40238</v>
      </c>
      <c r="C167" s="2">
        <v>40238</v>
      </c>
      <c r="D167" s="2">
        <v>40283</v>
      </c>
      <c r="E167" s="2"/>
      <c r="F167" t="s">
        <v>2</v>
      </c>
      <c r="G167" s="3">
        <v>45</v>
      </c>
      <c r="H167" s="4">
        <v>45556.5</v>
      </c>
      <c r="I167" t="s">
        <v>3</v>
      </c>
      <c r="J167" s="6">
        <v>1400000018</v>
      </c>
      <c r="K167" t="s">
        <v>0</v>
      </c>
      <c r="L167" s="3">
        <v>3802</v>
      </c>
      <c r="M167" s="3">
        <v>3771</v>
      </c>
      <c r="N167" s="6">
        <v>140000</v>
      </c>
      <c r="O167" s="6">
        <v>1032</v>
      </c>
      <c r="P167">
        <v>-2329</v>
      </c>
      <c r="Q167" t="s">
        <v>28</v>
      </c>
    </row>
    <row r="168" spans="1:17" ht="13.95" customHeight="1" outlineLevel="3" x14ac:dyDescent="0.25">
      <c r="A168" t="s">
        <v>1</v>
      </c>
      <c r="B168" s="2">
        <v>40217</v>
      </c>
      <c r="C168" s="2">
        <v>40217</v>
      </c>
      <c r="D168" s="2">
        <v>40262</v>
      </c>
      <c r="E168" s="2"/>
      <c r="F168" t="s">
        <v>2</v>
      </c>
      <c r="G168" s="3">
        <v>45</v>
      </c>
      <c r="H168" s="4">
        <v>37569.4</v>
      </c>
      <c r="I168" t="s">
        <v>3</v>
      </c>
      <c r="J168" s="6">
        <v>1400000011</v>
      </c>
      <c r="K168" t="s">
        <v>0</v>
      </c>
      <c r="L168" s="3">
        <v>3823</v>
      </c>
      <c r="M168" s="3">
        <v>3792</v>
      </c>
      <c r="N168" s="6">
        <v>140000</v>
      </c>
      <c r="O168" s="6">
        <v>1032</v>
      </c>
      <c r="P168">
        <v>-103</v>
      </c>
      <c r="Q168" t="s">
        <v>28</v>
      </c>
    </row>
    <row r="169" spans="1:17" ht="13.95" customHeight="1" outlineLevel="3" x14ac:dyDescent="0.25">
      <c r="A169" t="s">
        <v>1</v>
      </c>
      <c r="B169" s="2">
        <v>40217</v>
      </c>
      <c r="C169" s="2">
        <v>40217</v>
      </c>
      <c r="D169" s="2">
        <v>40262</v>
      </c>
      <c r="E169" s="2"/>
      <c r="F169" t="s">
        <v>2</v>
      </c>
      <c r="G169" s="3">
        <v>45</v>
      </c>
      <c r="H169" s="4">
        <v>29910.6</v>
      </c>
      <c r="I169" t="s">
        <v>3</v>
      </c>
      <c r="J169" s="6">
        <v>1400000010</v>
      </c>
      <c r="K169" t="s">
        <v>0</v>
      </c>
      <c r="L169" s="3">
        <v>3823</v>
      </c>
      <c r="M169" s="3">
        <v>3792</v>
      </c>
      <c r="N169" s="6">
        <v>140000</v>
      </c>
      <c r="O169" s="6">
        <v>1032</v>
      </c>
      <c r="P169">
        <v>-103</v>
      </c>
      <c r="Q169" t="s">
        <v>28</v>
      </c>
    </row>
    <row r="170" spans="1:17" ht="13.95" customHeight="1" outlineLevel="3" x14ac:dyDescent="0.25">
      <c r="A170" t="s">
        <v>1</v>
      </c>
      <c r="B170" s="2">
        <v>40217</v>
      </c>
      <c r="C170" s="2">
        <v>40217</v>
      </c>
      <c r="D170" s="2">
        <v>40262</v>
      </c>
      <c r="E170" s="2"/>
      <c r="F170" t="s">
        <v>2</v>
      </c>
      <c r="G170" s="3">
        <v>45</v>
      </c>
      <c r="H170" s="4">
        <v>36445.199999999997</v>
      </c>
      <c r="I170" t="s">
        <v>3</v>
      </c>
      <c r="J170" s="6">
        <v>1400000009</v>
      </c>
      <c r="K170" t="s">
        <v>0</v>
      </c>
      <c r="L170" s="3">
        <v>3823</v>
      </c>
      <c r="M170" s="3">
        <v>3792</v>
      </c>
      <c r="N170" s="6">
        <v>140000</v>
      </c>
      <c r="O170" s="6">
        <v>1032</v>
      </c>
      <c r="P170">
        <v>-103</v>
      </c>
      <c r="Q170" t="s">
        <v>28</v>
      </c>
    </row>
    <row r="171" spans="1:17" ht="13.95" customHeight="1" outlineLevel="3" x14ac:dyDescent="0.25">
      <c r="A171" t="s">
        <v>1</v>
      </c>
      <c r="B171" s="2">
        <v>40183</v>
      </c>
      <c r="C171" s="2">
        <v>40183</v>
      </c>
      <c r="D171" s="2">
        <v>40228</v>
      </c>
      <c r="E171" s="2"/>
      <c r="F171" t="s">
        <v>2</v>
      </c>
      <c r="G171" s="3">
        <v>45</v>
      </c>
      <c r="H171" s="4">
        <v>40984.800000000003</v>
      </c>
      <c r="I171" t="s">
        <v>3</v>
      </c>
      <c r="J171" s="6">
        <v>1400000002</v>
      </c>
      <c r="K171" t="s">
        <v>0</v>
      </c>
      <c r="L171" s="3">
        <v>3857</v>
      </c>
      <c r="M171" s="3">
        <v>3826</v>
      </c>
      <c r="N171" s="6">
        <v>140000</v>
      </c>
      <c r="O171" s="6">
        <v>1032</v>
      </c>
      <c r="P171">
        <v>-76</v>
      </c>
      <c r="Q171" t="s">
        <v>28</v>
      </c>
    </row>
    <row r="172" spans="1:17" ht="13.95" customHeight="1" outlineLevel="3" x14ac:dyDescent="0.25">
      <c r="A172" t="s">
        <v>1</v>
      </c>
      <c r="B172" s="2">
        <v>40183</v>
      </c>
      <c r="C172" s="2">
        <v>40183</v>
      </c>
      <c r="D172" s="2">
        <v>40228</v>
      </c>
      <c r="E172" s="2"/>
      <c r="F172" t="s">
        <v>2</v>
      </c>
      <c r="G172" s="3">
        <v>45</v>
      </c>
      <c r="H172" s="4">
        <v>23263.8</v>
      </c>
      <c r="I172" t="s">
        <v>3</v>
      </c>
      <c r="J172" s="6">
        <v>1400000001</v>
      </c>
      <c r="K172" t="s">
        <v>0</v>
      </c>
      <c r="L172" s="3">
        <v>3857</v>
      </c>
      <c r="M172" s="3">
        <v>3826</v>
      </c>
      <c r="N172" s="6">
        <v>140000</v>
      </c>
      <c r="O172" s="6">
        <v>1032</v>
      </c>
      <c r="P172">
        <v>-76</v>
      </c>
      <c r="Q172" t="s">
        <v>28</v>
      </c>
    </row>
    <row r="173" spans="1:17" ht="13.95" customHeight="1" outlineLevel="3" x14ac:dyDescent="0.25">
      <c r="A173" t="s">
        <v>1</v>
      </c>
      <c r="B173" s="2">
        <v>40183</v>
      </c>
      <c r="C173" s="2">
        <v>40183</v>
      </c>
      <c r="D173" s="2">
        <v>40228</v>
      </c>
      <c r="E173" s="2"/>
      <c r="F173" t="s">
        <v>2</v>
      </c>
      <c r="G173" s="3">
        <v>45</v>
      </c>
      <c r="H173" s="4">
        <v>30371</v>
      </c>
      <c r="I173" t="s">
        <v>3</v>
      </c>
      <c r="J173" s="6">
        <v>1400000000</v>
      </c>
      <c r="K173" t="s">
        <v>0</v>
      </c>
      <c r="L173" s="3">
        <v>3857</v>
      </c>
      <c r="M173" s="3">
        <v>3826</v>
      </c>
      <c r="N173" s="6">
        <v>140000</v>
      </c>
      <c r="O173" s="6">
        <v>1032</v>
      </c>
      <c r="P173">
        <v>-76</v>
      </c>
      <c r="Q173" t="s">
        <v>28</v>
      </c>
    </row>
    <row r="174" spans="1:17" ht="13.95" customHeight="1" outlineLevel="3" x14ac:dyDescent="0.25">
      <c r="A174" t="s">
        <v>1</v>
      </c>
      <c r="B174" s="2">
        <v>43281</v>
      </c>
      <c r="C174" s="2">
        <v>43281</v>
      </c>
      <c r="D174" s="2">
        <v>43326</v>
      </c>
      <c r="E174" s="2"/>
      <c r="F174" t="s">
        <v>2</v>
      </c>
      <c r="G174" s="3">
        <v>45</v>
      </c>
      <c r="H174" s="4">
        <v>1000</v>
      </c>
      <c r="I174" t="s">
        <v>3</v>
      </c>
      <c r="J174" s="6">
        <v>1400000179</v>
      </c>
      <c r="K174" t="s">
        <v>0</v>
      </c>
      <c r="L174" s="3">
        <v>759</v>
      </c>
      <c r="M174" s="3">
        <v>728</v>
      </c>
      <c r="N174" s="6">
        <v>140000</v>
      </c>
      <c r="O174" s="6">
        <v>1033</v>
      </c>
      <c r="P174">
        <v>712</v>
      </c>
      <c r="Q174" t="s">
        <v>32</v>
      </c>
    </row>
    <row r="175" spans="1:17" ht="13.95" customHeight="1" outlineLevel="3" x14ac:dyDescent="0.25">
      <c r="A175" t="s">
        <v>1</v>
      </c>
      <c r="B175" s="2">
        <v>40908</v>
      </c>
      <c r="C175" s="2">
        <v>40908</v>
      </c>
      <c r="D175" s="2">
        <v>40953</v>
      </c>
      <c r="E175" s="2"/>
      <c r="F175" t="s">
        <v>2</v>
      </c>
      <c r="G175" s="3">
        <v>45</v>
      </c>
      <c r="H175" s="4">
        <v>48771.91</v>
      </c>
      <c r="I175" t="s">
        <v>3</v>
      </c>
      <c r="J175" s="6">
        <v>1400000166</v>
      </c>
      <c r="K175" t="s">
        <v>0</v>
      </c>
      <c r="L175" s="3">
        <v>3132</v>
      </c>
      <c r="M175" s="3">
        <v>3101</v>
      </c>
      <c r="N175" s="6">
        <v>140000</v>
      </c>
      <c r="O175" s="6">
        <v>1050</v>
      </c>
      <c r="P175">
        <v>-45</v>
      </c>
      <c r="Q175" t="s">
        <v>28</v>
      </c>
    </row>
    <row r="176" spans="1:17" ht="13.95" customHeight="1" outlineLevel="3" x14ac:dyDescent="0.25">
      <c r="A176" t="s">
        <v>1</v>
      </c>
      <c r="B176" s="2">
        <v>40908</v>
      </c>
      <c r="C176" s="2">
        <v>40908</v>
      </c>
      <c r="D176" s="2">
        <v>40953</v>
      </c>
      <c r="E176" s="2"/>
      <c r="F176" t="s">
        <v>2</v>
      </c>
      <c r="G176" s="3">
        <v>45</v>
      </c>
      <c r="H176" s="4">
        <v>36141.49</v>
      </c>
      <c r="I176" t="s">
        <v>3</v>
      </c>
      <c r="J176" s="6">
        <v>1400000167</v>
      </c>
      <c r="K176" t="s">
        <v>0</v>
      </c>
      <c r="L176" s="3">
        <v>3132</v>
      </c>
      <c r="M176" s="3">
        <v>3101</v>
      </c>
      <c r="N176" s="6">
        <v>140000</v>
      </c>
      <c r="O176" s="6">
        <v>1050</v>
      </c>
      <c r="P176">
        <v>-45</v>
      </c>
      <c r="Q176" t="s">
        <v>28</v>
      </c>
    </row>
    <row r="177" spans="1:17" ht="13.95" customHeight="1" outlineLevel="3" x14ac:dyDescent="0.25">
      <c r="A177" t="s">
        <v>1</v>
      </c>
      <c r="B177" s="2">
        <v>40908</v>
      </c>
      <c r="C177" s="2">
        <v>40908</v>
      </c>
      <c r="D177" s="2">
        <v>40953</v>
      </c>
      <c r="E177" s="2"/>
      <c r="F177" t="s">
        <v>2</v>
      </c>
      <c r="G177" s="3">
        <v>45</v>
      </c>
      <c r="H177" s="4">
        <v>27683.919999999998</v>
      </c>
      <c r="I177" t="s">
        <v>3</v>
      </c>
      <c r="J177" s="6">
        <v>1400000165</v>
      </c>
      <c r="K177" t="s">
        <v>0</v>
      </c>
      <c r="L177" s="3">
        <v>3132</v>
      </c>
      <c r="M177" s="3">
        <v>3101</v>
      </c>
      <c r="N177" s="6">
        <v>140000</v>
      </c>
      <c r="O177" s="6">
        <v>1050</v>
      </c>
      <c r="P177">
        <v>-45</v>
      </c>
      <c r="Q177" t="s">
        <v>28</v>
      </c>
    </row>
    <row r="178" spans="1:17" ht="13.95" customHeight="1" outlineLevel="3" x14ac:dyDescent="0.25">
      <c r="A178" t="s">
        <v>1</v>
      </c>
      <c r="B178" s="2">
        <v>40908</v>
      </c>
      <c r="C178" s="2">
        <v>40908</v>
      </c>
      <c r="D178" s="2">
        <v>40953</v>
      </c>
      <c r="E178" s="2"/>
      <c r="F178" t="s">
        <v>2</v>
      </c>
      <c r="G178" s="3">
        <v>45</v>
      </c>
      <c r="H178" s="4">
        <v>32527.34</v>
      </c>
      <c r="I178" t="s">
        <v>3</v>
      </c>
      <c r="J178" s="6">
        <v>1400000164</v>
      </c>
      <c r="K178" t="s">
        <v>0</v>
      </c>
      <c r="L178" s="3">
        <v>3132</v>
      </c>
      <c r="M178" s="3">
        <v>3101</v>
      </c>
      <c r="N178" s="6">
        <v>140000</v>
      </c>
      <c r="O178" s="6">
        <v>1050</v>
      </c>
      <c r="P178">
        <v>-45</v>
      </c>
      <c r="Q178" t="s">
        <v>28</v>
      </c>
    </row>
    <row r="179" spans="1:17" ht="13.95" customHeight="1" outlineLevel="3" x14ac:dyDescent="0.25">
      <c r="A179" t="s">
        <v>1</v>
      </c>
      <c r="B179" s="2">
        <v>40877</v>
      </c>
      <c r="C179" s="2">
        <v>40877</v>
      </c>
      <c r="D179" s="2">
        <v>40922</v>
      </c>
      <c r="E179" s="2"/>
      <c r="F179" t="s">
        <v>2</v>
      </c>
      <c r="G179" s="3">
        <v>45</v>
      </c>
      <c r="H179" s="4">
        <v>48771.91</v>
      </c>
      <c r="I179" t="s">
        <v>3</v>
      </c>
      <c r="J179" s="6">
        <v>1400000100</v>
      </c>
      <c r="K179" t="s">
        <v>0</v>
      </c>
      <c r="L179" s="3">
        <v>3163</v>
      </c>
      <c r="M179" s="3">
        <v>3132</v>
      </c>
      <c r="N179" s="6">
        <v>140000</v>
      </c>
      <c r="O179" s="6">
        <v>1050</v>
      </c>
      <c r="P179">
        <v>-14</v>
      </c>
      <c r="Q179" t="s">
        <v>28</v>
      </c>
    </row>
    <row r="180" spans="1:17" ht="13.95" customHeight="1" outlineLevel="3" x14ac:dyDescent="0.25">
      <c r="A180" t="s">
        <v>1</v>
      </c>
      <c r="B180" s="2">
        <v>40908</v>
      </c>
      <c r="C180" s="2">
        <v>40908</v>
      </c>
      <c r="D180" s="2">
        <v>40953</v>
      </c>
      <c r="E180" s="2"/>
      <c r="F180" t="s">
        <v>2</v>
      </c>
      <c r="G180" s="3">
        <v>45</v>
      </c>
      <c r="H180" s="4">
        <v>23729.08</v>
      </c>
      <c r="I180" t="s">
        <v>3</v>
      </c>
      <c r="J180" s="6">
        <v>1400000168</v>
      </c>
      <c r="K180" t="s">
        <v>0</v>
      </c>
      <c r="L180" s="3">
        <v>3132</v>
      </c>
      <c r="M180" s="3">
        <v>3101</v>
      </c>
      <c r="N180" s="6">
        <v>140000</v>
      </c>
      <c r="O180" s="6">
        <v>1050</v>
      </c>
      <c r="P180">
        <v>-45</v>
      </c>
      <c r="Q180" t="s">
        <v>28</v>
      </c>
    </row>
    <row r="181" spans="1:17" ht="13.95" customHeight="1" outlineLevel="3" x14ac:dyDescent="0.25">
      <c r="A181" t="s">
        <v>1</v>
      </c>
      <c r="B181" s="2">
        <v>40908</v>
      </c>
      <c r="C181" s="2">
        <v>40908</v>
      </c>
      <c r="D181" s="2">
        <v>40953</v>
      </c>
      <c r="E181" s="2"/>
      <c r="F181" t="s">
        <v>2</v>
      </c>
      <c r="G181" s="3">
        <v>45</v>
      </c>
      <c r="H181" s="4">
        <v>44707.59</v>
      </c>
      <c r="I181" t="s">
        <v>3</v>
      </c>
      <c r="J181" s="6">
        <v>1400000169</v>
      </c>
      <c r="K181" t="s">
        <v>0</v>
      </c>
      <c r="L181" s="3">
        <v>3132</v>
      </c>
      <c r="M181" s="3">
        <v>3101</v>
      </c>
      <c r="N181" s="6">
        <v>140000</v>
      </c>
      <c r="O181" s="6">
        <v>1050</v>
      </c>
      <c r="P181">
        <v>-45</v>
      </c>
      <c r="Q181" t="s">
        <v>28</v>
      </c>
    </row>
    <row r="182" spans="1:17" ht="13.95" customHeight="1" outlineLevel="3" x14ac:dyDescent="0.25">
      <c r="A182" t="s">
        <v>1</v>
      </c>
      <c r="B182" s="2">
        <v>40939</v>
      </c>
      <c r="C182" s="2">
        <v>40939</v>
      </c>
      <c r="D182" s="2">
        <v>40984</v>
      </c>
      <c r="E182" s="2"/>
      <c r="F182" t="s">
        <v>2</v>
      </c>
      <c r="G182" s="3">
        <v>45</v>
      </c>
      <c r="H182" s="4">
        <v>36141.49</v>
      </c>
      <c r="I182" t="s">
        <v>3</v>
      </c>
      <c r="J182" s="6">
        <v>1400000003</v>
      </c>
      <c r="K182" t="s">
        <v>0</v>
      </c>
      <c r="L182" s="3">
        <v>3101</v>
      </c>
      <c r="M182" s="3">
        <v>3070</v>
      </c>
      <c r="N182" s="6">
        <v>140000</v>
      </c>
      <c r="O182" s="6">
        <v>1050</v>
      </c>
      <c r="P182">
        <v>-76</v>
      </c>
      <c r="Q182" t="s">
        <v>28</v>
      </c>
    </row>
    <row r="183" spans="1:17" ht="13.95" customHeight="1" outlineLevel="3" x14ac:dyDescent="0.25">
      <c r="A183" t="s">
        <v>1</v>
      </c>
      <c r="B183" s="2">
        <v>40939</v>
      </c>
      <c r="C183" s="2">
        <v>40939</v>
      </c>
      <c r="D183" s="2">
        <v>40984</v>
      </c>
      <c r="E183" s="2"/>
      <c r="F183" t="s">
        <v>2</v>
      </c>
      <c r="G183" s="3">
        <v>45</v>
      </c>
      <c r="H183" s="4">
        <v>23729.08</v>
      </c>
      <c r="I183" t="s">
        <v>3</v>
      </c>
      <c r="J183" s="6">
        <v>1400000004</v>
      </c>
      <c r="K183" t="s">
        <v>0</v>
      </c>
      <c r="L183" s="3">
        <v>3101</v>
      </c>
      <c r="M183" s="3">
        <v>3070</v>
      </c>
      <c r="N183" s="6">
        <v>140000</v>
      </c>
      <c r="O183" s="6">
        <v>1050</v>
      </c>
      <c r="P183">
        <v>-76</v>
      </c>
      <c r="Q183" t="s">
        <v>28</v>
      </c>
    </row>
    <row r="184" spans="1:17" ht="13.95" customHeight="1" outlineLevel="3" x14ac:dyDescent="0.25">
      <c r="A184" t="s">
        <v>1</v>
      </c>
      <c r="B184" s="2">
        <v>40939</v>
      </c>
      <c r="C184" s="2">
        <v>40939</v>
      </c>
      <c r="D184" s="2">
        <v>40984</v>
      </c>
      <c r="E184" s="2"/>
      <c r="F184" t="s">
        <v>2</v>
      </c>
      <c r="G184" s="3">
        <v>45</v>
      </c>
      <c r="H184" s="4">
        <v>40643.26</v>
      </c>
      <c r="I184" t="s">
        <v>3</v>
      </c>
      <c r="J184" s="6">
        <v>1400000005</v>
      </c>
      <c r="K184" t="s">
        <v>0</v>
      </c>
      <c r="L184" s="3">
        <v>3101</v>
      </c>
      <c r="M184" s="3">
        <v>3070</v>
      </c>
      <c r="N184" s="6">
        <v>140000</v>
      </c>
      <c r="O184" s="6">
        <v>1050</v>
      </c>
      <c r="P184">
        <v>-76</v>
      </c>
      <c r="Q184" t="s">
        <v>28</v>
      </c>
    </row>
    <row r="185" spans="1:17" ht="13.95" customHeight="1" outlineLevel="3" x14ac:dyDescent="0.25">
      <c r="A185" t="s">
        <v>1</v>
      </c>
      <c r="B185" s="2">
        <v>40939</v>
      </c>
      <c r="C185" s="2">
        <v>40939</v>
      </c>
      <c r="D185" s="2">
        <v>40984</v>
      </c>
      <c r="E185" s="2"/>
      <c r="F185" t="s">
        <v>2</v>
      </c>
      <c r="G185" s="3">
        <v>45</v>
      </c>
      <c r="H185" s="4">
        <v>39755.64</v>
      </c>
      <c r="I185" t="s">
        <v>3</v>
      </c>
      <c r="J185" s="6">
        <v>1400000006</v>
      </c>
      <c r="K185" t="s">
        <v>0</v>
      </c>
      <c r="L185" s="3">
        <v>3101</v>
      </c>
      <c r="M185" s="3">
        <v>3070</v>
      </c>
      <c r="N185" s="6">
        <v>140000</v>
      </c>
      <c r="O185" s="6">
        <v>1050</v>
      </c>
      <c r="P185">
        <v>-76</v>
      </c>
      <c r="Q185" t="s">
        <v>28</v>
      </c>
    </row>
    <row r="186" spans="1:17" ht="13.95" customHeight="1" outlineLevel="3" x14ac:dyDescent="0.25">
      <c r="A186" t="s">
        <v>1</v>
      </c>
      <c r="B186" s="2">
        <v>40877</v>
      </c>
      <c r="C186" s="2">
        <v>40877</v>
      </c>
      <c r="D186" s="2">
        <v>40922</v>
      </c>
      <c r="E186" s="2"/>
      <c r="F186" t="s">
        <v>2</v>
      </c>
      <c r="G186" s="3">
        <v>45</v>
      </c>
      <c r="H186" s="4">
        <v>31638.77</v>
      </c>
      <c r="I186" t="s">
        <v>3</v>
      </c>
      <c r="J186" s="6">
        <v>1400000099</v>
      </c>
      <c r="K186" t="s">
        <v>0</v>
      </c>
      <c r="L186" s="3">
        <v>3163</v>
      </c>
      <c r="M186" s="3">
        <v>3132</v>
      </c>
      <c r="N186" s="6">
        <v>140000</v>
      </c>
      <c r="O186" s="6">
        <v>1050</v>
      </c>
      <c r="P186">
        <v>-14</v>
      </c>
      <c r="Q186" t="s">
        <v>28</v>
      </c>
    </row>
    <row r="187" spans="1:17" ht="13.95" customHeight="1" outlineLevel="3" x14ac:dyDescent="0.25">
      <c r="A187" t="s">
        <v>1</v>
      </c>
      <c r="B187" s="2">
        <v>40877</v>
      </c>
      <c r="C187" s="2">
        <v>40877</v>
      </c>
      <c r="D187" s="2">
        <v>40922</v>
      </c>
      <c r="E187" s="2"/>
      <c r="F187" t="s">
        <v>2</v>
      </c>
      <c r="G187" s="3">
        <v>45</v>
      </c>
      <c r="H187" s="4">
        <v>32527.34</v>
      </c>
      <c r="I187" t="s">
        <v>3</v>
      </c>
      <c r="J187" s="6">
        <v>1400000098</v>
      </c>
      <c r="K187" t="s">
        <v>0</v>
      </c>
      <c r="L187" s="3">
        <v>3163</v>
      </c>
      <c r="M187" s="3">
        <v>3132</v>
      </c>
      <c r="N187" s="6">
        <v>140000</v>
      </c>
      <c r="O187" s="6">
        <v>1050</v>
      </c>
      <c r="P187">
        <v>-324</v>
      </c>
      <c r="Q187" t="s">
        <v>28</v>
      </c>
    </row>
    <row r="188" spans="1:17" ht="13.95" customHeight="1" outlineLevel="3" x14ac:dyDescent="0.25">
      <c r="A188" t="s">
        <v>1</v>
      </c>
      <c r="B188" s="2">
        <v>40877</v>
      </c>
      <c r="C188" s="2">
        <v>40877</v>
      </c>
      <c r="D188" s="2">
        <v>40922</v>
      </c>
      <c r="E188" s="2"/>
      <c r="F188" t="s">
        <v>2</v>
      </c>
      <c r="G188" s="3">
        <v>45</v>
      </c>
      <c r="H188" s="4">
        <v>52836.24</v>
      </c>
      <c r="I188" t="s">
        <v>3</v>
      </c>
      <c r="J188" s="6">
        <v>1400000097</v>
      </c>
      <c r="K188" t="s">
        <v>0</v>
      </c>
      <c r="L188" s="3">
        <v>3163</v>
      </c>
      <c r="M188" s="3">
        <v>3132</v>
      </c>
      <c r="N188" s="6">
        <v>140000</v>
      </c>
      <c r="O188" s="6">
        <v>1050</v>
      </c>
      <c r="P188">
        <v>-324</v>
      </c>
      <c r="Q188" t="s">
        <v>28</v>
      </c>
    </row>
    <row r="189" spans="1:17" ht="13.95" customHeight="1" outlineLevel="3" x14ac:dyDescent="0.25">
      <c r="A189" t="s">
        <v>1</v>
      </c>
      <c r="B189" s="2">
        <v>40877</v>
      </c>
      <c r="C189" s="2">
        <v>40877</v>
      </c>
      <c r="D189" s="2">
        <v>40922</v>
      </c>
      <c r="E189" s="2"/>
      <c r="F189" t="s">
        <v>2</v>
      </c>
      <c r="G189" s="3">
        <v>45</v>
      </c>
      <c r="H189" s="4">
        <v>35593.61</v>
      </c>
      <c r="I189" t="s">
        <v>3</v>
      </c>
      <c r="J189" s="6">
        <v>1400000096</v>
      </c>
      <c r="K189" t="s">
        <v>0</v>
      </c>
      <c r="L189" s="3">
        <v>3163</v>
      </c>
      <c r="M189" s="3">
        <v>3132</v>
      </c>
      <c r="N189" s="6">
        <v>140000</v>
      </c>
      <c r="O189" s="6">
        <v>1050</v>
      </c>
      <c r="P189">
        <v>-324</v>
      </c>
      <c r="Q189" t="s">
        <v>28</v>
      </c>
    </row>
    <row r="190" spans="1:17" ht="13.95" customHeight="1" outlineLevel="3" x14ac:dyDescent="0.25">
      <c r="A190" t="s">
        <v>1</v>
      </c>
      <c r="B190" s="2">
        <v>40877</v>
      </c>
      <c r="C190" s="2">
        <v>40877</v>
      </c>
      <c r="D190" s="2">
        <v>40922</v>
      </c>
      <c r="E190" s="2"/>
      <c r="F190" t="s">
        <v>2</v>
      </c>
      <c r="G190" s="3">
        <v>45</v>
      </c>
      <c r="H190" s="4">
        <v>28913.19</v>
      </c>
      <c r="I190" t="s">
        <v>3</v>
      </c>
      <c r="J190" s="6">
        <v>1400000095</v>
      </c>
      <c r="K190" t="s">
        <v>0</v>
      </c>
      <c r="L190" s="3">
        <v>3163</v>
      </c>
      <c r="M190" s="3">
        <v>3132</v>
      </c>
      <c r="N190" s="6">
        <v>140000</v>
      </c>
      <c r="O190" s="6">
        <v>1050</v>
      </c>
      <c r="P190">
        <v>-14</v>
      </c>
      <c r="Q190" t="s">
        <v>28</v>
      </c>
    </row>
    <row r="191" spans="1:17" ht="13.95" customHeight="1" outlineLevel="3" x14ac:dyDescent="0.25">
      <c r="A191" t="s">
        <v>1</v>
      </c>
      <c r="B191" s="2">
        <v>40847</v>
      </c>
      <c r="C191" s="2">
        <v>40847</v>
      </c>
      <c r="D191" s="2">
        <v>40892</v>
      </c>
      <c r="E191" s="2"/>
      <c r="F191" t="s">
        <v>2</v>
      </c>
      <c r="G191" s="3">
        <v>45</v>
      </c>
      <c r="H191" s="4">
        <v>52836.24</v>
      </c>
      <c r="I191" t="s">
        <v>3</v>
      </c>
      <c r="J191" s="6">
        <v>1400000091</v>
      </c>
      <c r="K191" t="s">
        <v>0</v>
      </c>
      <c r="L191" s="3">
        <v>3193</v>
      </c>
      <c r="M191" s="3">
        <v>3162</v>
      </c>
      <c r="N191" s="6">
        <v>140000</v>
      </c>
      <c r="O191" s="6">
        <v>1050</v>
      </c>
      <c r="P191">
        <v>16</v>
      </c>
      <c r="Q191" t="s">
        <v>29</v>
      </c>
    </row>
    <row r="192" spans="1:17" ht="13.95" customHeight="1" outlineLevel="3" x14ac:dyDescent="0.25">
      <c r="A192" t="s">
        <v>1</v>
      </c>
      <c r="B192" s="2">
        <v>40847</v>
      </c>
      <c r="C192" s="2">
        <v>40847</v>
      </c>
      <c r="D192" s="2">
        <v>40892</v>
      </c>
      <c r="E192" s="2"/>
      <c r="F192" t="s">
        <v>2</v>
      </c>
      <c r="G192" s="3">
        <v>45</v>
      </c>
      <c r="H192" s="4">
        <v>39548.46</v>
      </c>
      <c r="I192" t="s">
        <v>3</v>
      </c>
      <c r="J192" s="6">
        <v>1400000090</v>
      </c>
      <c r="K192" t="s">
        <v>0</v>
      </c>
      <c r="L192" s="3">
        <v>3193</v>
      </c>
      <c r="M192" s="3">
        <v>3162</v>
      </c>
      <c r="N192" s="6">
        <v>140000</v>
      </c>
      <c r="O192" s="6">
        <v>1050</v>
      </c>
      <c r="P192">
        <v>16</v>
      </c>
      <c r="Q192" t="s">
        <v>29</v>
      </c>
    </row>
    <row r="193" spans="1:17" ht="13.95" customHeight="1" outlineLevel="3" x14ac:dyDescent="0.25">
      <c r="A193" t="s">
        <v>1</v>
      </c>
      <c r="B193" s="2">
        <v>40847</v>
      </c>
      <c r="C193" s="2">
        <v>40847</v>
      </c>
      <c r="D193" s="2">
        <v>40892</v>
      </c>
      <c r="E193" s="2"/>
      <c r="F193" t="s">
        <v>2</v>
      </c>
      <c r="G193" s="3">
        <v>45</v>
      </c>
      <c r="H193" s="4">
        <v>25299.040000000001</v>
      </c>
      <c r="I193" t="s">
        <v>3</v>
      </c>
      <c r="J193" s="6">
        <v>1400000089</v>
      </c>
      <c r="K193" t="s">
        <v>0</v>
      </c>
      <c r="L193" s="3">
        <v>3193</v>
      </c>
      <c r="M193" s="3">
        <v>3162</v>
      </c>
      <c r="N193" s="6">
        <v>140000</v>
      </c>
      <c r="O193" s="6">
        <v>1050</v>
      </c>
      <c r="P193">
        <v>-294</v>
      </c>
      <c r="Q193" t="s">
        <v>28</v>
      </c>
    </row>
    <row r="194" spans="1:17" ht="13.95" customHeight="1" outlineLevel="3" x14ac:dyDescent="0.25">
      <c r="A194" t="s">
        <v>1</v>
      </c>
      <c r="B194" s="2">
        <v>40847</v>
      </c>
      <c r="C194" s="2">
        <v>40847</v>
      </c>
      <c r="D194" s="2">
        <v>40892</v>
      </c>
      <c r="E194" s="2"/>
      <c r="F194" t="s">
        <v>2</v>
      </c>
      <c r="G194" s="3">
        <v>45</v>
      </c>
      <c r="H194" s="4">
        <v>56900.56</v>
      </c>
      <c r="I194" t="s">
        <v>3</v>
      </c>
      <c r="J194" s="6">
        <v>1400000088</v>
      </c>
      <c r="K194" t="s">
        <v>0</v>
      </c>
      <c r="L194" s="3">
        <v>3193</v>
      </c>
      <c r="M194" s="3">
        <v>3162</v>
      </c>
      <c r="N194" s="6">
        <v>140000</v>
      </c>
      <c r="O194" s="6">
        <v>1050</v>
      </c>
      <c r="P194">
        <v>-2364</v>
      </c>
      <c r="Q194" t="s">
        <v>28</v>
      </c>
    </row>
    <row r="195" spans="1:17" ht="13.95" customHeight="1" outlineLevel="3" x14ac:dyDescent="0.25">
      <c r="A195" t="s">
        <v>1</v>
      </c>
      <c r="B195" s="2">
        <v>40847</v>
      </c>
      <c r="C195" s="2">
        <v>40847</v>
      </c>
      <c r="D195" s="2">
        <v>40892</v>
      </c>
      <c r="E195" s="2"/>
      <c r="F195" t="s">
        <v>2</v>
      </c>
      <c r="G195" s="3">
        <v>45</v>
      </c>
      <c r="H195" s="4">
        <v>43503.31</v>
      </c>
      <c r="I195" t="s">
        <v>3</v>
      </c>
      <c r="J195" s="6">
        <v>1400000087</v>
      </c>
      <c r="K195" t="s">
        <v>0</v>
      </c>
      <c r="L195" s="3">
        <v>3193</v>
      </c>
      <c r="M195" s="3">
        <v>3162</v>
      </c>
      <c r="N195" s="6">
        <v>140000</v>
      </c>
      <c r="O195" s="6">
        <v>1050</v>
      </c>
      <c r="P195">
        <v>-294</v>
      </c>
      <c r="Q195" t="s">
        <v>28</v>
      </c>
    </row>
    <row r="196" spans="1:17" ht="13.95" customHeight="1" outlineLevel="3" x14ac:dyDescent="0.25">
      <c r="A196" t="s">
        <v>1</v>
      </c>
      <c r="B196" s="2">
        <v>40847</v>
      </c>
      <c r="C196" s="2">
        <v>40847</v>
      </c>
      <c r="D196" s="2">
        <v>40892</v>
      </c>
      <c r="E196" s="2"/>
      <c r="F196" t="s">
        <v>2</v>
      </c>
      <c r="G196" s="3">
        <v>45</v>
      </c>
      <c r="H196" s="4">
        <v>21684.89</v>
      </c>
      <c r="I196" t="s">
        <v>3</v>
      </c>
      <c r="J196" s="6">
        <v>1400000086</v>
      </c>
      <c r="K196" t="s">
        <v>0</v>
      </c>
      <c r="L196" s="3">
        <v>3193</v>
      </c>
      <c r="M196" s="3">
        <v>3162</v>
      </c>
      <c r="N196" s="6">
        <v>140000</v>
      </c>
      <c r="O196" s="6">
        <v>1050</v>
      </c>
      <c r="P196">
        <v>925</v>
      </c>
      <c r="Q196" t="s">
        <v>32</v>
      </c>
    </row>
    <row r="197" spans="1:17" ht="13.95" customHeight="1" outlineLevel="3" x14ac:dyDescent="0.25">
      <c r="A197" t="s">
        <v>1</v>
      </c>
      <c r="B197" s="2">
        <v>40939</v>
      </c>
      <c r="C197" s="2">
        <v>40939</v>
      </c>
      <c r="D197" s="2">
        <v>40984</v>
      </c>
      <c r="E197" s="2"/>
      <c r="F197" t="s">
        <v>2</v>
      </c>
      <c r="G197" s="3">
        <v>45</v>
      </c>
      <c r="H197" s="4">
        <v>27683.919999999998</v>
      </c>
      <c r="I197" t="s">
        <v>3</v>
      </c>
      <c r="J197" s="6">
        <v>1400000007</v>
      </c>
      <c r="K197" t="s">
        <v>0</v>
      </c>
      <c r="L197" s="3">
        <v>3101</v>
      </c>
      <c r="M197" s="3">
        <v>3070</v>
      </c>
      <c r="N197" s="6">
        <v>140000</v>
      </c>
      <c r="O197" s="6">
        <v>1050</v>
      </c>
      <c r="P197">
        <v>-76</v>
      </c>
      <c r="Q197" t="s">
        <v>28</v>
      </c>
    </row>
    <row r="198" spans="1:17" ht="13.95" customHeight="1" outlineLevel="3" x14ac:dyDescent="0.25">
      <c r="A198" t="s">
        <v>1</v>
      </c>
      <c r="B198" s="2">
        <v>41060</v>
      </c>
      <c r="C198" s="2">
        <v>41060</v>
      </c>
      <c r="D198" s="2">
        <v>41105</v>
      </c>
      <c r="E198" s="2"/>
      <c r="F198" t="s">
        <v>2</v>
      </c>
      <c r="G198" s="3">
        <v>45</v>
      </c>
      <c r="H198" s="4">
        <v>19638.55</v>
      </c>
      <c r="I198" t="s">
        <v>3</v>
      </c>
      <c r="J198" s="6">
        <v>1400000041</v>
      </c>
      <c r="K198" t="s">
        <v>0</v>
      </c>
      <c r="L198" s="3">
        <v>2980</v>
      </c>
      <c r="M198" s="3">
        <v>2949</v>
      </c>
      <c r="N198" s="6">
        <v>140000</v>
      </c>
      <c r="O198" s="6">
        <v>1050</v>
      </c>
      <c r="P198">
        <v>-197</v>
      </c>
      <c r="Q198" t="s">
        <v>28</v>
      </c>
    </row>
    <row r="199" spans="1:17" ht="13.95" customHeight="1" outlineLevel="3" x14ac:dyDescent="0.25">
      <c r="A199" t="s">
        <v>1</v>
      </c>
      <c r="B199" s="2">
        <v>41060</v>
      </c>
      <c r="C199" s="2">
        <v>41060</v>
      </c>
      <c r="D199" s="2">
        <v>41105</v>
      </c>
      <c r="E199" s="2"/>
      <c r="F199" t="s">
        <v>2</v>
      </c>
      <c r="G199" s="3">
        <v>45</v>
      </c>
      <c r="H199" s="4">
        <v>49684.83</v>
      </c>
      <c r="I199" t="s">
        <v>3</v>
      </c>
      <c r="J199" s="6">
        <v>1400000040</v>
      </c>
      <c r="K199" t="s">
        <v>0</v>
      </c>
      <c r="L199" s="3">
        <v>2980</v>
      </c>
      <c r="M199" s="3">
        <v>2949</v>
      </c>
      <c r="N199" s="6">
        <v>140000</v>
      </c>
      <c r="O199" s="6">
        <v>1050</v>
      </c>
      <c r="P199">
        <v>-197</v>
      </c>
      <c r="Q199" t="s">
        <v>28</v>
      </c>
    </row>
    <row r="200" spans="1:17" ht="13.95" customHeight="1" outlineLevel="3" x14ac:dyDescent="0.25">
      <c r="A200" t="s">
        <v>1</v>
      </c>
      <c r="B200" s="2">
        <v>41060</v>
      </c>
      <c r="C200" s="2">
        <v>41060</v>
      </c>
      <c r="D200" s="2">
        <v>41105</v>
      </c>
      <c r="E200" s="2"/>
      <c r="F200" t="s">
        <v>2</v>
      </c>
      <c r="G200" s="3">
        <v>45</v>
      </c>
      <c r="H200" s="4">
        <v>31433.99</v>
      </c>
      <c r="I200" t="s">
        <v>3</v>
      </c>
      <c r="J200" s="6">
        <v>1400000039</v>
      </c>
      <c r="K200" t="s">
        <v>0</v>
      </c>
      <c r="L200" s="3">
        <v>2980</v>
      </c>
      <c r="M200" s="3">
        <v>2949</v>
      </c>
      <c r="N200" s="6">
        <v>140000</v>
      </c>
      <c r="O200" s="6">
        <v>1050</v>
      </c>
      <c r="P200">
        <v>189</v>
      </c>
      <c r="Q200" t="s">
        <v>31</v>
      </c>
    </row>
    <row r="201" spans="1:17" ht="13.95" customHeight="1" outlineLevel="3" x14ac:dyDescent="0.25">
      <c r="A201" t="s">
        <v>1</v>
      </c>
      <c r="B201" s="2">
        <v>41029</v>
      </c>
      <c r="C201" s="2">
        <v>41029</v>
      </c>
      <c r="D201" s="2">
        <v>41074</v>
      </c>
      <c r="E201" s="2"/>
      <c r="F201" t="s">
        <v>2</v>
      </c>
      <c r="G201" s="3">
        <v>45</v>
      </c>
      <c r="H201" s="4">
        <v>23566.26</v>
      </c>
      <c r="I201" t="s">
        <v>3</v>
      </c>
      <c r="J201" s="6">
        <v>1400000035</v>
      </c>
      <c r="K201" t="s">
        <v>0</v>
      </c>
      <c r="L201" s="3">
        <v>3011</v>
      </c>
      <c r="M201" s="3">
        <v>2980</v>
      </c>
      <c r="N201" s="6">
        <v>140000</v>
      </c>
      <c r="O201" s="6">
        <v>1050</v>
      </c>
      <c r="P201">
        <v>-166</v>
      </c>
      <c r="Q201" t="s">
        <v>28</v>
      </c>
    </row>
    <row r="202" spans="1:17" ht="13.95" customHeight="1" outlineLevel="3" x14ac:dyDescent="0.25">
      <c r="A202" t="s">
        <v>1</v>
      </c>
      <c r="B202" s="2">
        <v>41029</v>
      </c>
      <c r="C202" s="2">
        <v>41029</v>
      </c>
      <c r="D202" s="2">
        <v>41074</v>
      </c>
      <c r="E202" s="2"/>
      <c r="F202" t="s">
        <v>2</v>
      </c>
      <c r="G202" s="3">
        <v>45</v>
      </c>
      <c r="H202" s="4">
        <v>38219.1</v>
      </c>
      <c r="I202" t="s">
        <v>3</v>
      </c>
      <c r="J202" s="6">
        <v>1400000034</v>
      </c>
      <c r="K202" t="s">
        <v>0</v>
      </c>
      <c r="L202" s="3">
        <v>3011</v>
      </c>
      <c r="M202" s="3">
        <v>2980</v>
      </c>
      <c r="N202" s="6">
        <v>140000</v>
      </c>
      <c r="O202" s="6">
        <v>1050</v>
      </c>
      <c r="P202">
        <v>-166</v>
      </c>
      <c r="Q202" t="s">
        <v>28</v>
      </c>
    </row>
    <row r="203" spans="1:17" ht="13.95" customHeight="1" outlineLevel="3" x14ac:dyDescent="0.25">
      <c r="A203" t="s">
        <v>1</v>
      </c>
      <c r="B203" s="2">
        <v>41029</v>
      </c>
      <c r="C203" s="2">
        <v>41029</v>
      </c>
      <c r="D203" s="2">
        <v>41074</v>
      </c>
      <c r="E203" s="2"/>
      <c r="F203" t="s">
        <v>2</v>
      </c>
      <c r="G203" s="3">
        <v>45</v>
      </c>
      <c r="H203" s="4">
        <v>45404.65</v>
      </c>
      <c r="I203" t="s">
        <v>3</v>
      </c>
      <c r="J203" s="6">
        <v>1400000033</v>
      </c>
      <c r="K203" t="s">
        <v>0</v>
      </c>
      <c r="L203" s="3">
        <v>3011</v>
      </c>
      <c r="M203" s="3">
        <v>2980</v>
      </c>
      <c r="N203" s="6">
        <v>140000</v>
      </c>
      <c r="O203" s="6">
        <v>1050</v>
      </c>
      <c r="P203">
        <v>-166</v>
      </c>
      <c r="Q203" t="s">
        <v>28</v>
      </c>
    </row>
    <row r="204" spans="1:17" ht="13.95" customHeight="1" outlineLevel="3" x14ac:dyDescent="0.25">
      <c r="A204" t="s">
        <v>1</v>
      </c>
      <c r="B204" s="2">
        <v>41029</v>
      </c>
      <c r="C204" s="2">
        <v>41029</v>
      </c>
      <c r="D204" s="2">
        <v>41074</v>
      </c>
      <c r="E204" s="2"/>
      <c r="F204" t="s">
        <v>2</v>
      </c>
      <c r="G204" s="3">
        <v>45</v>
      </c>
      <c r="H204" s="4">
        <v>19638.55</v>
      </c>
      <c r="I204" t="s">
        <v>3</v>
      </c>
      <c r="J204" s="6">
        <v>1400000032</v>
      </c>
      <c r="K204" t="s">
        <v>0</v>
      </c>
      <c r="L204" s="3">
        <v>3011</v>
      </c>
      <c r="M204" s="3">
        <v>2980</v>
      </c>
      <c r="N204" s="6">
        <v>140000</v>
      </c>
      <c r="O204" s="6">
        <v>1050</v>
      </c>
      <c r="P204">
        <v>-166</v>
      </c>
      <c r="Q204" t="s">
        <v>28</v>
      </c>
    </row>
    <row r="205" spans="1:17" ht="13.95" customHeight="1" outlineLevel="3" x14ac:dyDescent="0.25">
      <c r="A205" t="s">
        <v>1</v>
      </c>
      <c r="B205" s="2">
        <v>41029</v>
      </c>
      <c r="C205" s="2">
        <v>41029</v>
      </c>
      <c r="D205" s="2">
        <v>41074</v>
      </c>
      <c r="E205" s="2"/>
      <c r="F205" t="s">
        <v>2</v>
      </c>
      <c r="G205" s="3">
        <v>45</v>
      </c>
      <c r="H205" s="4">
        <v>42041.01</v>
      </c>
      <c r="I205" t="s">
        <v>3</v>
      </c>
      <c r="J205" s="6">
        <v>1400000031</v>
      </c>
      <c r="K205" t="s">
        <v>0</v>
      </c>
      <c r="L205" s="3">
        <v>3011</v>
      </c>
      <c r="M205" s="3">
        <v>2980</v>
      </c>
      <c r="N205" s="6">
        <v>140000</v>
      </c>
      <c r="O205" s="6">
        <v>1050</v>
      </c>
      <c r="P205">
        <v>1003</v>
      </c>
      <c r="Q205" t="s">
        <v>32</v>
      </c>
    </row>
    <row r="206" spans="1:17" ht="13.95" customHeight="1" outlineLevel="3" x14ac:dyDescent="0.25">
      <c r="A206" t="s">
        <v>1</v>
      </c>
      <c r="B206" s="2">
        <v>41029</v>
      </c>
      <c r="C206" s="2">
        <v>41029</v>
      </c>
      <c r="D206" s="2">
        <v>41074</v>
      </c>
      <c r="E206" s="2"/>
      <c r="F206" t="s">
        <v>2</v>
      </c>
      <c r="G206" s="3">
        <v>45</v>
      </c>
      <c r="H206" s="4">
        <v>38419.32</v>
      </c>
      <c r="I206" t="s">
        <v>3</v>
      </c>
      <c r="J206" s="6">
        <v>1400000030</v>
      </c>
      <c r="K206" t="s">
        <v>0</v>
      </c>
      <c r="L206" s="3">
        <v>3011</v>
      </c>
      <c r="M206" s="3">
        <v>2980</v>
      </c>
      <c r="N206" s="6">
        <v>140000</v>
      </c>
      <c r="O206" s="6">
        <v>1050</v>
      </c>
      <c r="P206">
        <v>1003</v>
      </c>
      <c r="Q206" t="s">
        <v>32</v>
      </c>
    </row>
    <row r="207" spans="1:17" ht="13.95" customHeight="1" outlineLevel="3" x14ac:dyDescent="0.25">
      <c r="A207" t="s">
        <v>1</v>
      </c>
      <c r="B207" s="2">
        <v>40999</v>
      </c>
      <c r="C207" s="2">
        <v>40999</v>
      </c>
      <c r="D207" s="2">
        <v>41044</v>
      </c>
      <c r="E207" s="2"/>
      <c r="F207" t="s">
        <v>2</v>
      </c>
      <c r="G207" s="3">
        <v>45</v>
      </c>
      <c r="H207" s="4">
        <v>31421.68</v>
      </c>
      <c r="I207" t="s">
        <v>3</v>
      </c>
      <c r="J207" s="6">
        <v>1400000026</v>
      </c>
      <c r="K207" t="s">
        <v>0</v>
      </c>
      <c r="L207" s="3">
        <v>3041</v>
      </c>
      <c r="M207" s="3">
        <v>3010</v>
      </c>
      <c r="N207" s="6">
        <v>140000</v>
      </c>
      <c r="O207" s="6">
        <v>1050</v>
      </c>
      <c r="P207">
        <v>-136</v>
      </c>
      <c r="Q207" t="s">
        <v>28</v>
      </c>
    </row>
    <row r="208" spans="1:17" ht="13.95" customHeight="1" outlineLevel="3" x14ac:dyDescent="0.25">
      <c r="A208" t="s">
        <v>1</v>
      </c>
      <c r="B208" s="2">
        <v>40999</v>
      </c>
      <c r="C208" s="2">
        <v>40999</v>
      </c>
      <c r="D208" s="2">
        <v>41044</v>
      </c>
      <c r="E208" s="2"/>
      <c r="F208" t="s">
        <v>2</v>
      </c>
      <c r="G208" s="3">
        <v>45</v>
      </c>
      <c r="H208" s="4">
        <v>34397.19</v>
      </c>
      <c r="I208" t="s">
        <v>3</v>
      </c>
      <c r="J208" s="6">
        <v>1400000025</v>
      </c>
      <c r="K208" t="s">
        <v>0</v>
      </c>
      <c r="L208" s="3">
        <v>3041</v>
      </c>
      <c r="M208" s="3">
        <v>3010</v>
      </c>
      <c r="N208" s="6">
        <v>140000</v>
      </c>
      <c r="O208" s="6">
        <v>1050</v>
      </c>
      <c r="P208">
        <v>-136</v>
      </c>
      <c r="Q208" t="s">
        <v>28</v>
      </c>
    </row>
    <row r="209" spans="1:17" ht="13.95" customHeight="1" outlineLevel="3" x14ac:dyDescent="0.25">
      <c r="A209" t="s">
        <v>1</v>
      </c>
      <c r="B209" s="2">
        <v>40999</v>
      </c>
      <c r="C209" s="2">
        <v>40999</v>
      </c>
      <c r="D209" s="2">
        <v>41044</v>
      </c>
      <c r="E209" s="2"/>
      <c r="F209" t="s">
        <v>2</v>
      </c>
      <c r="G209" s="3">
        <v>45</v>
      </c>
      <c r="H209" s="4">
        <v>38419.32</v>
      </c>
      <c r="I209" t="s">
        <v>3</v>
      </c>
      <c r="J209" s="6">
        <v>1400000024</v>
      </c>
      <c r="K209" t="s">
        <v>0</v>
      </c>
      <c r="L209" s="3">
        <v>3041</v>
      </c>
      <c r="M209" s="3">
        <v>3010</v>
      </c>
      <c r="N209" s="6">
        <v>140000</v>
      </c>
      <c r="O209" s="6">
        <v>1050</v>
      </c>
      <c r="P209">
        <v>-136</v>
      </c>
      <c r="Q209" t="s">
        <v>28</v>
      </c>
    </row>
    <row r="210" spans="1:17" ht="13.95" customHeight="1" outlineLevel="3" x14ac:dyDescent="0.25">
      <c r="A210" t="s">
        <v>1</v>
      </c>
      <c r="B210" s="2">
        <v>40999</v>
      </c>
      <c r="C210" s="2">
        <v>40999</v>
      </c>
      <c r="D210" s="2">
        <v>41044</v>
      </c>
      <c r="E210" s="2"/>
      <c r="F210" t="s">
        <v>2</v>
      </c>
      <c r="G210" s="3">
        <v>45</v>
      </c>
      <c r="H210" s="4">
        <v>27493.97</v>
      </c>
      <c r="I210" t="s">
        <v>3</v>
      </c>
      <c r="J210" s="6">
        <v>1400000023</v>
      </c>
      <c r="K210" t="s">
        <v>0</v>
      </c>
      <c r="L210" s="3">
        <v>3041</v>
      </c>
      <c r="M210" s="3">
        <v>3010</v>
      </c>
      <c r="N210" s="6">
        <v>140000</v>
      </c>
      <c r="O210" s="6">
        <v>1050</v>
      </c>
      <c r="P210">
        <v>-136</v>
      </c>
      <c r="Q210" t="s">
        <v>28</v>
      </c>
    </row>
    <row r="211" spans="1:17" ht="13.95" customHeight="1" outlineLevel="3" x14ac:dyDescent="0.25">
      <c r="A211" t="s">
        <v>1</v>
      </c>
      <c r="B211" s="2">
        <v>40999</v>
      </c>
      <c r="C211" s="2">
        <v>40999</v>
      </c>
      <c r="D211" s="2">
        <v>41044</v>
      </c>
      <c r="E211" s="2"/>
      <c r="F211" t="s">
        <v>2</v>
      </c>
      <c r="G211" s="3">
        <v>45</v>
      </c>
      <c r="H211" s="4">
        <v>30575.279999999999</v>
      </c>
      <c r="I211" t="s">
        <v>3</v>
      </c>
      <c r="J211" s="6">
        <v>1400000022</v>
      </c>
      <c r="K211" t="s">
        <v>0</v>
      </c>
      <c r="L211" s="3">
        <v>3041</v>
      </c>
      <c r="M211" s="3">
        <v>3010</v>
      </c>
      <c r="N211" s="6">
        <v>140000</v>
      </c>
      <c r="O211" s="6">
        <v>1050</v>
      </c>
      <c r="P211">
        <v>-136</v>
      </c>
      <c r="Q211" t="s">
        <v>28</v>
      </c>
    </row>
    <row r="212" spans="1:17" ht="13.95" customHeight="1" outlineLevel="3" x14ac:dyDescent="0.25">
      <c r="A212" t="s">
        <v>1</v>
      </c>
      <c r="B212" s="2">
        <v>40999</v>
      </c>
      <c r="C212" s="2">
        <v>40999</v>
      </c>
      <c r="D212" s="2">
        <v>41044</v>
      </c>
      <c r="E212" s="2"/>
      <c r="F212" t="s">
        <v>2</v>
      </c>
      <c r="G212" s="3">
        <v>45</v>
      </c>
      <c r="H212" s="4">
        <v>45404.65</v>
      </c>
      <c r="I212" t="s">
        <v>3</v>
      </c>
      <c r="J212" s="6">
        <v>1400000021</v>
      </c>
      <c r="K212" t="s">
        <v>0</v>
      </c>
      <c r="L212" s="3">
        <v>3041</v>
      </c>
      <c r="M212" s="3">
        <v>3010</v>
      </c>
      <c r="N212" s="6">
        <v>140000</v>
      </c>
      <c r="O212" s="6">
        <v>1050</v>
      </c>
      <c r="P212">
        <v>-136</v>
      </c>
      <c r="Q212" t="s">
        <v>28</v>
      </c>
    </row>
    <row r="213" spans="1:17" ht="13.95" customHeight="1" outlineLevel="3" x14ac:dyDescent="0.25">
      <c r="A213" t="s">
        <v>1</v>
      </c>
      <c r="B213" s="2">
        <v>40968</v>
      </c>
      <c r="C213" s="2">
        <v>40968</v>
      </c>
      <c r="D213" s="2">
        <v>41013</v>
      </c>
      <c r="E213" s="2"/>
      <c r="F213" t="s">
        <v>2</v>
      </c>
      <c r="G213" s="3">
        <v>45</v>
      </c>
      <c r="H213" s="4">
        <v>40643.26</v>
      </c>
      <c r="I213" t="s">
        <v>3</v>
      </c>
      <c r="J213" s="6">
        <v>1400000017</v>
      </c>
      <c r="K213" t="s">
        <v>0</v>
      </c>
      <c r="L213" s="3">
        <v>3072</v>
      </c>
      <c r="M213" s="3">
        <v>3041</v>
      </c>
      <c r="N213" s="6">
        <v>140000</v>
      </c>
      <c r="O213" s="6">
        <v>1050</v>
      </c>
      <c r="P213">
        <v>-105</v>
      </c>
      <c r="Q213" t="s">
        <v>28</v>
      </c>
    </row>
    <row r="214" spans="1:17" ht="13.95" customHeight="1" outlineLevel="3" x14ac:dyDescent="0.25">
      <c r="A214" t="s">
        <v>1</v>
      </c>
      <c r="B214" s="2">
        <v>40968</v>
      </c>
      <c r="C214" s="2">
        <v>40968</v>
      </c>
      <c r="D214" s="2">
        <v>41013</v>
      </c>
      <c r="E214" s="2"/>
      <c r="F214" t="s">
        <v>2</v>
      </c>
      <c r="G214" s="3">
        <v>45</v>
      </c>
      <c r="H214" s="4">
        <v>31638.77</v>
      </c>
      <c r="I214" t="s">
        <v>3</v>
      </c>
      <c r="J214" s="6">
        <v>1400000016</v>
      </c>
      <c r="K214" t="s">
        <v>0</v>
      </c>
      <c r="L214" s="3">
        <v>3072</v>
      </c>
      <c r="M214" s="3">
        <v>3041</v>
      </c>
      <c r="N214" s="6">
        <v>140000</v>
      </c>
      <c r="O214" s="6">
        <v>1050</v>
      </c>
      <c r="P214">
        <v>-105</v>
      </c>
      <c r="Q214" t="s">
        <v>28</v>
      </c>
    </row>
    <row r="215" spans="1:17" ht="13.95" customHeight="1" outlineLevel="3" x14ac:dyDescent="0.25">
      <c r="A215" t="s">
        <v>1</v>
      </c>
      <c r="B215" s="2">
        <v>40968</v>
      </c>
      <c r="C215" s="2">
        <v>40968</v>
      </c>
      <c r="D215" s="2">
        <v>41013</v>
      </c>
      <c r="E215" s="2"/>
      <c r="F215" t="s">
        <v>2</v>
      </c>
      <c r="G215" s="3">
        <v>45</v>
      </c>
      <c r="H215" s="4">
        <v>43369.79</v>
      </c>
      <c r="I215" t="s">
        <v>3</v>
      </c>
      <c r="J215" s="6">
        <v>1400000015</v>
      </c>
      <c r="K215" t="s">
        <v>0</v>
      </c>
      <c r="L215" s="3">
        <v>3072</v>
      </c>
      <c r="M215" s="3">
        <v>3041</v>
      </c>
      <c r="N215" s="6">
        <v>140000</v>
      </c>
      <c r="O215" s="6">
        <v>1050</v>
      </c>
      <c r="P215">
        <v>-105</v>
      </c>
      <c r="Q215" t="s">
        <v>28</v>
      </c>
    </row>
    <row r="216" spans="1:17" ht="13.95" customHeight="1" outlineLevel="3" x14ac:dyDescent="0.25">
      <c r="A216" t="s">
        <v>1</v>
      </c>
      <c r="B216" s="2">
        <v>40968</v>
      </c>
      <c r="C216" s="2">
        <v>40968</v>
      </c>
      <c r="D216" s="2">
        <v>41013</v>
      </c>
      <c r="E216" s="2"/>
      <c r="F216" t="s">
        <v>2</v>
      </c>
      <c r="G216" s="3">
        <v>45</v>
      </c>
      <c r="H216" s="4">
        <v>36578.93</v>
      </c>
      <c r="I216" t="s">
        <v>3</v>
      </c>
      <c r="J216" s="6">
        <v>1400000014</v>
      </c>
      <c r="K216" t="s">
        <v>0</v>
      </c>
      <c r="L216" s="3">
        <v>3072</v>
      </c>
      <c r="M216" s="3">
        <v>3041</v>
      </c>
      <c r="N216" s="6">
        <v>140000</v>
      </c>
      <c r="O216" s="6">
        <v>1050</v>
      </c>
      <c r="P216">
        <v>-105</v>
      </c>
      <c r="Q216" t="s">
        <v>28</v>
      </c>
    </row>
    <row r="217" spans="1:17" ht="13.95" customHeight="1" outlineLevel="3" x14ac:dyDescent="0.25">
      <c r="A217" t="s">
        <v>1</v>
      </c>
      <c r="B217" s="2">
        <v>40968</v>
      </c>
      <c r="C217" s="2">
        <v>40968</v>
      </c>
      <c r="D217" s="2">
        <v>41013</v>
      </c>
      <c r="E217" s="2"/>
      <c r="F217" t="s">
        <v>2</v>
      </c>
      <c r="G217" s="3">
        <v>45</v>
      </c>
      <c r="H217" s="4">
        <v>23729.08</v>
      </c>
      <c r="I217" t="s">
        <v>3</v>
      </c>
      <c r="J217" s="6">
        <v>1400000013</v>
      </c>
      <c r="K217" t="s">
        <v>0</v>
      </c>
      <c r="L217" s="3">
        <v>3072</v>
      </c>
      <c r="M217" s="3">
        <v>3041</v>
      </c>
      <c r="N217" s="6">
        <v>140000</v>
      </c>
      <c r="O217" s="6">
        <v>1050</v>
      </c>
      <c r="P217">
        <v>-105</v>
      </c>
      <c r="Q217" t="s">
        <v>28</v>
      </c>
    </row>
    <row r="218" spans="1:17" ht="13.95" customHeight="1" outlineLevel="3" x14ac:dyDescent="0.25">
      <c r="A218" t="s">
        <v>1</v>
      </c>
      <c r="B218" s="2">
        <v>40968</v>
      </c>
      <c r="C218" s="2">
        <v>40968</v>
      </c>
      <c r="D218" s="2">
        <v>41013</v>
      </c>
      <c r="E218" s="2"/>
      <c r="F218" t="s">
        <v>2</v>
      </c>
      <c r="G218" s="3">
        <v>45</v>
      </c>
      <c r="H218" s="4">
        <v>50598.09</v>
      </c>
      <c r="I218" t="s">
        <v>3</v>
      </c>
      <c r="J218" s="6">
        <v>1400000012</v>
      </c>
      <c r="K218" t="s">
        <v>0</v>
      </c>
      <c r="L218" s="3">
        <v>3072</v>
      </c>
      <c r="M218" s="3">
        <v>3041</v>
      </c>
      <c r="N218" s="6">
        <v>140000</v>
      </c>
      <c r="O218" s="6">
        <v>1050</v>
      </c>
      <c r="P218">
        <v>1031</v>
      </c>
      <c r="Q218" t="s">
        <v>32</v>
      </c>
    </row>
    <row r="219" spans="1:17" ht="13.95" customHeight="1" outlineLevel="3" x14ac:dyDescent="0.25">
      <c r="A219" t="s">
        <v>1</v>
      </c>
      <c r="B219" s="2">
        <v>40939</v>
      </c>
      <c r="C219" s="2">
        <v>40939</v>
      </c>
      <c r="D219" s="2">
        <v>40984</v>
      </c>
      <c r="E219" s="2"/>
      <c r="F219" t="s">
        <v>2</v>
      </c>
      <c r="G219" s="3">
        <v>45</v>
      </c>
      <c r="H219" s="4">
        <v>36578.93</v>
      </c>
      <c r="I219" t="s">
        <v>3</v>
      </c>
      <c r="J219" s="6">
        <v>1400000008</v>
      </c>
      <c r="K219" t="s">
        <v>0</v>
      </c>
      <c r="L219" s="3">
        <v>3101</v>
      </c>
      <c r="M219" s="3">
        <v>3070</v>
      </c>
      <c r="N219" s="6">
        <v>140000</v>
      </c>
      <c r="O219" s="6">
        <v>1050</v>
      </c>
      <c r="P219">
        <v>-76</v>
      </c>
      <c r="Q219" t="s">
        <v>28</v>
      </c>
    </row>
    <row r="220" spans="1:17" ht="13.95" customHeight="1" outlineLevel="3" x14ac:dyDescent="0.25">
      <c r="A220" t="s">
        <v>1</v>
      </c>
      <c r="B220" s="2">
        <v>40724</v>
      </c>
      <c r="C220" s="2">
        <v>40724</v>
      </c>
      <c r="D220" s="2">
        <v>40769</v>
      </c>
      <c r="E220" s="2"/>
      <c r="F220" t="s">
        <v>2</v>
      </c>
      <c r="G220" s="3">
        <v>45</v>
      </c>
      <c r="H220" s="4">
        <v>28913.19</v>
      </c>
      <c r="I220" t="s">
        <v>3</v>
      </c>
      <c r="J220" s="6">
        <v>1400000049</v>
      </c>
      <c r="K220" t="s">
        <v>0</v>
      </c>
      <c r="L220" s="3">
        <v>3316</v>
      </c>
      <c r="M220" s="3">
        <v>3285</v>
      </c>
      <c r="N220" s="6">
        <v>140000</v>
      </c>
      <c r="O220" s="6">
        <v>1050</v>
      </c>
      <c r="P220">
        <v>966</v>
      </c>
      <c r="Q220" t="s">
        <v>32</v>
      </c>
    </row>
    <row r="221" spans="1:17" ht="13.95" customHeight="1" outlineLevel="3" x14ac:dyDescent="0.25">
      <c r="A221" t="s">
        <v>1</v>
      </c>
      <c r="B221" s="2">
        <v>40694</v>
      </c>
      <c r="C221" s="2">
        <v>40694</v>
      </c>
      <c r="D221" s="2">
        <v>40739</v>
      </c>
      <c r="E221" s="2"/>
      <c r="F221" t="s">
        <v>2</v>
      </c>
      <c r="G221" s="3">
        <v>45</v>
      </c>
      <c r="H221" s="4">
        <v>16257.3</v>
      </c>
      <c r="I221" t="s">
        <v>3</v>
      </c>
      <c r="J221" s="6">
        <v>1400000045</v>
      </c>
      <c r="K221" t="s">
        <v>0</v>
      </c>
      <c r="L221" s="3">
        <v>3346</v>
      </c>
      <c r="M221" s="3">
        <v>3315</v>
      </c>
      <c r="N221" s="6">
        <v>140000</v>
      </c>
      <c r="O221" s="6">
        <v>1050</v>
      </c>
      <c r="P221">
        <v>-585</v>
      </c>
      <c r="Q221" t="s">
        <v>28</v>
      </c>
    </row>
    <row r="222" spans="1:17" ht="13.95" customHeight="1" outlineLevel="3" x14ac:dyDescent="0.25">
      <c r="A222" t="s">
        <v>1</v>
      </c>
      <c r="B222" s="2">
        <v>40694</v>
      </c>
      <c r="C222" s="2">
        <v>40694</v>
      </c>
      <c r="D222" s="2">
        <v>40739</v>
      </c>
      <c r="E222" s="2"/>
      <c r="F222" t="s">
        <v>2</v>
      </c>
      <c r="G222" s="3">
        <v>45</v>
      </c>
      <c r="H222" s="4">
        <v>47458.15</v>
      </c>
      <c r="I222" t="s">
        <v>3</v>
      </c>
      <c r="J222" s="6">
        <v>1400000044</v>
      </c>
      <c r="K222" t="s">
        <v>0</v>
      </c>
      <c r="L222" s="3">
        <v>3346</v>
      </c>
      <c r="M222" s="3">
        <v>3315</v>
      </c>
      <c r="N222" s="6">
        <v>140000</v>
      </c>
      <c r="O222" s="6">
        <v>1050</v>
      </c>
      <c r="P222">
        <v>169</v>
      </c>
      <c r="Q222" t="s">
        <v>30</v>
      </c>
    </row>
    <row r="223" spans="1:17" ht="13.95" customHeight="1" outlineLevel="3" x14ac:dyDescent="0.25">
      <c r="A223" t="s">
        <v>1</v>
      </c>
      <c r="B223" s="2">
        <v>40694</v>
      </c>
      <c r="C223" s="2">
        <v>40694</v>
      </c>
      <c r="D223" s="2">
        <v>40739</v>
      </c>
      <c r="E223" s="2"/>
      <c r="F223" t="s">
        <v>2</v>
      </c>
      <c r="G223" s="3">
        <v>45</v>
      </c>
      <c r="H223" s="4">
        <v>36141.49</v>
      </c>
      <c r="I223" t="s">
        <v>3</v>
      </c>
      <c r="J223" s="6">
        <v>1400000043</v>
      </c>
      <c r="K223" t="s">
        <v>0</v>
      </c>
      <c r="L223" s="3">
        <v>3346</v>
      </c>
      <c r="M223" s="3">
        <v>3315</v>
      </c>
      <c r="N223" s="6">
        <v>140000</v>
      </c>
      <c r="O223" s="6">
        <v>1050</v>
      </c>
      <c r="P223">
        <v>169</v>
      </c>
      <c r="Q223" t="s">
        <v>30</v>
      </c>
    </row>
    <row r="224" spans="1:17" ht="13.95" customHeight="1" outlineLevel="3" x14ac:dyDescent="0.25">
      <c r="A224" t="s">
        <v>1</v>
      </c>
      <c r="B224" s="2">
        <v>40694</v>
      </c>
      <c r="C224" s="2">
        <v>40694</v>
      </c>
      <c r="D224" s="2">
        <v>40739</v>
      </c>
      <c r="E224" s="2"/>
      <c r="F224" t="s">
        <v>2</v>
      </c>
      <c r="G224" s="3">
        <v>45</v>
      </c>
      <c r="H224" s="4">
        <v>20321.63</v>
      </c>
      <c r="I224" t="s">
        <v>3</v>
      </c>
      <c r="J224" s="6">
        <v>1400000042</v>
      </c>
      <c r="K224" t="s">
        <v>0</v>
      </c>
      <c r="L224" s="3">
        <v>3346</v>
      </c>
      <c r="M224" s="3">
        <v>3315</v>
      </c>
      <c r="N224" s="6">
        <v>140000</v>
      </c>
      <c r="O224" s="6">
        <v>1050</v>
      </c>
      <c r="P224">
        <v>169</v>
      </c>
      <c r="Q224" t="s">
        <v>30</v>
      </c>
    </row>
    <row r="225" spans="1:17" ht="13.95" customHeight="1" outlineLevel="3" x14ac:dyDescent="0.25">
      <c r="A225" t="s">
        <v>1</v>
      </c>
      <c r="B225" s="2">
        <v>40694</v>
      </c>
      <c r="C225" s="2">
        <v>40694</v>
      </c>
      <c r="D225" s="2">
        <v>40739</v>
      </c>
      <c r="E225" s="2"/>
      <c r="F225" t="s">
        <v>2</v>
      </c>
      <c r="G225" s="3">
        <v>45</v>
      </c>
      <c r="H225" s="4">
        <v>51413</v>
      </c>
      <c r="I225" t="s">
        <v>3</v>
      </c>
      <c r="J225" s="6">
        <v>1400000041</v>
      </c>
      <c r="K225" t="s">
        <v>0</v>
      </c>
      <c r="L225" s="3">
        <v>3346</v>
      </c>
      <c r="M225" s="3">
        <v>3315</v>
      </c>
      <c r="N225" s="6">
        <v>140000</v>
      </c>
      <c r="O225" s="6">
        <v>1050</v>
      </c>
      <c r="P225">
        <v>-197</v>
      </c>
      <c r="Q225" t="s">
        <v>28</v>
      </c>
    </row>
    <row r="226" spans="1:17" ht="13.95" customHeight="1" outlineLevel="3" x14ac:dyDescent="0.25">
      <c r="A226" t="s">
        <v>1</v>
      </c>
      <c r="B226" s="2">
        <v>40694</v>
      </c>
      <c r="C226" s="2">
        <v>40694</v>
      </c>
      <c r="D226" s="2">
        <v>40739</v>
      </c>
      <c r="E226" s="2"/>
      <c r="F226" t="s">
        <v>2</v>
      </c>
      <c r="G226" s="3">
        <v>45</v>
      </c>
      <c r="H226" s="4">
        <v>32527.34</v>
      </c>
      <c r="I226" t="s">
        <v>3</v>
      </c>
      <c r="J226" s="6">
        <v>1400000040</v>
      </c>
      <c r="K226" t="s">
        <v>0</v>
      </c>
      <c r="L226" s="3">
        <v>3346</v>
      </c>
      <c r="M226" s="3">
        <v>3315</v>
      </c>
      <c r="N226" s="6">
        <v>140000</v>
      </c>
      <c r="O226" s="6">
        <v>1050</v>
      </c>
      <c r="P226">
        <v>-197</v>
      </c>
      <c r="Q226" t="s">
        <v>28</v>
      </c>
    </row>
    <row r="227" spans="1:17" ht="13.95" customHeight="1" outlineLevel="3" x14ac:dyDescent="0.25">
      <c r="A227" t="s">
        <v>1</v>
      </c>
      <c r="B227" s="2">
        <v>40663</v>
      </c>
      <c r="C227" s="2">
        <v>40663</v>
      </c>
      <c r="D227" s="2">
        <v>40708</v>
      </c>
      <c r="E227" s="2"/>
      <c r="F227" t="s">
        <v>2</v>
      </c>
      <c r="G227" s="3">
        <v>45</v>
      </c>
      <c r="H227" s="4">
        <v>24385.96</v>
      </c>
      <c r="I227" t="s">
        <v>3</v>
      </c>
      <c r="J227" s="6">
        <v>1400000035</v>
      </c>
      <c r="K227" t="s">
        <v>0</v>
      </c>
      <c r="L227" s="3">
        <v>3377</v>
      </c>
      <c r="M227" s="3">
        <v>3346</v>
      </c>
      <c r="N227" s="6">
        <v>140000</v>
      </c>
      <c r="O227" s="6">
        <v>1050</v>
      </c>
      <c r="P227">
        <v>-166</v>
      </c>
      <c r="Q227" t="s">
        <v>28</v>
      </c>
    </row>
    <row r="228" spans="1:17" ht="13.95" customHeight="1" outlineLevel="3" x14ac:dyDescent="0.25">
      <c r="A228" t="s">
        <v>1</v>
      </c>
      <c r="B228" s="2">
        <v>40663</v>
      </c>
      <c r="C228" s="2">
        <v>40663</v>
      </c>
      <c r="D228" s="2">
        <v>40708</v>
      </c>
      <c r="E228" s="2"/>
      <c r="F228" t="s">
        <v>2</v>
      </c>
      <c r="G228" s="3">
        <v>45</v>
      </c>
      <c r="H228" s="4">
        <v>39548.46</v>
      </c>
      <c r="I228" t="s">
        <v>3</v>
      </c>
      <c r="J228" s="6">
        <v>1400000034</v>
      </c>
      <c r="K228" t="s">
        <v>0</v>
      </c>
      <c r="L228" s="3">
        <v>3377</v>
      </c>
      <c r="M228" s="3">
        <v>3346</v>
      </c>
      <c r="N228" s="6">
        <v>140000</v>
      </c>
      <c r="O228" s="6">
        <v>1050</v>
      </c>
      <c r="P228">
        <v>-166</v>
      </c>
      <c r="Q228" t="s">
        <v>28</v>
      </c>
    </row>
    <row r="229" spans="1:17" ht="13.95" customHeight="1" outlineLevel="3" x14ac:dyDescent="0.25">
      <c r="A229" t="s">
        <v>1</v>
      </c>
      <c r="B229" s="2">
        <v>40663</v>
      </c>
      <c r="C229" s="2">
        <v>40663</v>
      </c>
      <c r="D229" s="2">
        <v>40708</v>
      </c>
      <c r="E229" s="2"/>
      <c r="F229" t="s">
        <v>2</v>
      </c>
      <c r="G229" s="3">
        <v>45</v>
      </c>
      <c r="H229" s="4">
        <v>46983.94</v>
      </c>
      <c r="I229" t="s">
        <v>3</v>
      </c>
      <c r="J229" s="6">
        <v>1400000033</v>
      </c>
      <c r="K229" t="s">
        <v>0</v>
      </c>
      <c r="L229" s="3">
        <v>3377</v>
      </c>
      <c r="M229" s="3">
        <v>3346</v>
      </c>
      <c r="N229" s="6">
        <v>140000</v>
      </c>
      <c r="O229" s="6">
        <v>1050</v>
      </c>
      <c r="P229">
        <v>-166</v>
      </c>
      <c r="Q229" t="s">
        <v>28</v>
      </c>
    </row>
    <row r="230" spans="1:17" ht="13.95" customHeight="1" outlineLevel="3" x14ac:dyDescent="0.25">
      <c r="A230" t="s">
        <v>1</v>
      </c>
      <c r="B230" s="2">
        <v>40663</v>
      </c>
      <c r="C230" s="2">
        <v>40663</v>
      </c>
      <c r="D230" s="2">
        <v>40708</v>
      </c>
      <c r="E230" s="2"/>
      <c r="F230" t="s">
        <v>2</v>
      </c>
      <c r="G230" s="3">
        <v>45</v>
      </c>
      <c r="H230" s="4">
        <v>20321.63</v>
      </c>
      <c r="I230" t="s">
        <v>3</v>
      </c>
      <c r="J230" s="6">
        <v>1400000032</v>
      </c>
      <c r="K230" t="s">
        <v>0</v>
      </c>
      <c r="L230" s="3">
        <v>3377</v>
      </c>
      <c r="M230" s="3">
        <v>3346</v>
      </c>
      <c r="N230" s="6">
        <v>140000</v>
      </c>
      <c r="O230" s="6">
        <v>1050</v>
      </c>
      <c r="P230">
        <v>-166</v>
      </c>
      <c r="Q230" t="s">
        <v>28</v>
      </c>
    </row>
    <row r="231" spans="1:17" ht="13.95" customHeight="1" outlineLevel="3" x14ac:dyDescent="0.25">
      <c r="A231" t="s">
        <v>1</v>
      </c>
      <c r="B231" s="2">
        <v>40663</v>
      </c>
      <c r="C231" s="2">
        <v>40663</v>
      </c>
      <c r="D231" s="2">
        <v>40708</v>
      </c>
      <c r="E231" s="2"/>
      <c r="F231" t="s">
        <v>2</v>
      </c>
      <c r="G231" s="3">
        <v>45</v>
      </c>
      <c r="H231" s="4">
        <v>43503.31</v>
      </c>
      <c r="I231" t="s">
        <v>3</v>
      </c>
      <c r="J231" s="6">
        <v>1400000031</v>
      </c>
      <c r="K231" t="s">
        <v>0</v>
      </c>
      <c r="L231" s="3">
        <v>3377</v>
      </c>
      <c r="M231" s="3">
        <v>3346</v>
      </c>
      <c r="N231" s="6">
        <v>140000</v>
      </c>
      <c r="O231" s="6">
        <v>1050</v>
      </c>
      <c r="P231">
        <v>1003</v>
      </c>
      <c r="Q231" t="s">
        <v>32</v>
      </c>
    </row>
    <row r="232" spans="1:17" ht="13.95" customHeight="1" outlineLevel="3" x14ac:dyDescent="0.25">
      <c r="A232" t="s">
        <v>1</v>
      </c>
      <c r="B232" s="2">
        <v>40663</v>
      </c>
      <c r="C232" s="2">
        <v>40663</v>
      </c>
      <c r="D232" s="2">
        <v>40708</v>
      </c>
      <c r="E232" s="2"/>
      <c r="F232" t="s">
        <v>2</v>
      </c>
      <c r="G232" s="3">
        <v>45</v>
      </c>
      <c r="H232" s="4">
        <v>39755.64</v>
      </c>
      <c r="I232" t="s">
        <v>3</v>
      </c>
      <c r="J232" s="6">
        <v>1400000030</v>
      </c>
      <c r="K232" t="s">
        <v>0</v>
      </c>
      <c r="L232" s="3">
        <v>3377</v>
      </c>
      <c r="M232" s="3">
        <v>3346</v>
      </c>
      <c r="N232" s="6">
        <v>140000</v>
      </c>
      <c r="O232" s="6">
        <v>1050</v>
      </c>
      <c r="P232">
        <v>1003</v>
      </c>
      <c r="Q232" t="s">
        <v>32</v>
      </c>
    </row>
    <row r="233" spans="1:17" ht="13.95" customHeight="1" outlineLevel="3" x14ac:dyDescent="0.25">
      <c r="A233" t="s">
        <v>1</v>
      </c>
      <c r="B233" s="2">
        <v>40633</v>
      </c>
      <c r="C233" s="2">
        <v>40633</v>
      </c>
      <c r="D233" s="2">
        <v>40678</v>
      </c>
      <c r="E233" s="2"/>
      <c r="F233" t="s">
        <v>2</v>
      </c>
      <c r="G233" s="3">
        <v>45</v>
      </c>
      <c r="H233" s="4">
        <v>32514.61</v>
      </c>
      <c r="I233" t="s">
        <v>3</v>
      </c>
      <c r="J233" s="6">
        <v>1400000026</v>
      </c>
      <c r="K233" t="s">
        <v>0</v>
      </c>
      <c r="L233" s="3">
        <v>3407</v>
      </c>
      <c r="M233" s="3">
        <v>3376</v>
      </c>
      <c r="N233" s="6">
        <v>140000</v>
      </c>
      <c r="O233" s="6">
        <v>1050</v>
      </c>
      <c r="P233">
        <v>-136</v>
      </c>
      <c r="Q233" t="s">
        <v>28</v>
      </c>
    </row>
    <row r="234" spans="1:17" ht="13.95" customHeight="1" outlineLevel="3" x14ac:dyDescent="0.25">
      <c r="A234" t="s">
        <v>1</v>
      </c>
      <c r="B234" s="2">
        <v>40633</v>
      </c>
      <c r="C234" s="2">
        <v>40633</v>
      </c>
      <c r="D234" s="2">
        <v>40678</v>
      </c>
      <c r="E234" s="2"/>
      <c r="F234" t="s">
        <v>2</v>
      </c>
      <c r="G234" s="3">
        <v>45</v>
      </c>
      <c r="H234" s="4">
        <v>35593.61</v>
      </c>
      <c r="I234" t="s">
        <v>3</v>
      </c>
      <c r="J234" s="6">
        <v>1400000025</v>
      </c>
      <c r="K234" t="s">
        <v>0</v>
      </c>
      <c r="L234" s="3">
        <v>3407</v>
      </c>
      <c r="M234" s="3">
        <v>3376</v>
      </c>
      <c r="N234" s="6">
        <v>140000</v>
      </c>
      <c r="O234" s="6">
        <v>1050</v>
      </c>
      <c r="P234">
        <v>-136</v>
      </c>
      <c r="Q234" t="s">
        <v>28</v>
      </c>
    </row>
    <row r="235" spans="1:17" ht="13.95" customHeight="1" outlineLevel="3" x14ac:dyDescent="0.25">
      <c r="A235" t="s">
        <v>1</v>
      </c>
      <c r="B235" s="2">
        <v>40633</v>
      </c>
      <c r="C235" s="2">
        <v>40633</v>
      </c>
      <c r="D235" s="2">
        <v>40678</v>
      </c>
      <c r="E235" s="2"/>
      <c r="F235" t="s">
        <v>2</v>
      </c>
      <c r="G235" s="3">
        <v>45</v>
      </c>
      <c r="H235" s="4">
        <v>39755.64</v>
      </c>
      <c r="I235" t="s">
        <v>3</v>
      </c>
      <c r="J235" s="6">
        <v>1400000024</v>
      </c>
      <c r="K235" t="s">
        <v>0</v>
      </c>
      <c r="L235" s="3">
        <v>3407</v>
      </c>
      <c r="M235" s="3">
        <v>3376</v>
      </c>
      <c r="N235" s="6">
        <v>140000</v>
      </c>
      <c r="O235" s="6">
        <v>1050</v>
      </c>
      <c r="P235">
        <v>-136</v>
      </c>
      <c r="Q235" t="s">
        <v>28</v>
      </c>
    </row>
    <row r="236" spans="1:17" ht="13.95" customHeight="1" outlineLevel="3" x14ac:dyDescent="0.25">
      <c r="A236" t="s">
        <v>1</v>
      </c>
      <c r="B236" s="2">
        <v>40633</v>
      </c>
      <c r="C236" s="2">
        <v>40633</v>
      </c>
      <c r="D236" s="2">
        <v>40678</v>
      </c>
      <c r="E236" s="2"/>
      <c r="F236" t="s">
        <v>2</v>
      </c>
      <c r="G236" s="3">
        <v>45</v>
      </c>
      <c r="H236" s="4">
        <v>28450.28</v>
      </c>
      <c r="I236" t="s">
        <v>3</v>
      </c>
      <c r="J236" s="6">
        <v>1400000023</v>
      </c>
      <c r="K236" t="s">
        <v>0</v>
      </c>
      <c r="L236" s="3">
        <v>3407</v>
      </c>
      <c r="M236" s="3">
        <v>3376</v>
      </c>
      <c r="N236" s="6">
        <v>140000</v>
      </c>
      <c r="O236" s="6">
        <v>1050</v>
      </c>
      <c r="P236">
        <v>-136</v>
      </c>
      <c r="Q236" t="s">
        <v>28</v>
      </c>
    </row>
    <row r="237" spans="1:17" ht="13.95" customHeight="1" outlineLevel="3" x14ac:dyDescent="0.25">
      <c r="A237" t="s">
        <v>1</v>
      </c>
      <c r="B237" s="2">
        <v>40633</v>
      </c>
      <c r="C237" s="2">
        <v>40633</v>
      </c>
      <c r="D237" s="2">
        <v>40678</v>
      </c>
      <c r="E237" s="2"/>
      <c r="F237" t="s">
        <v>2</v>
      </c>
      <c r="G237" s="3">
        <v>45</v>
      </c>
      <c r="H237" s="4">
        <v>31638.77</v>
      </c>
      <c r="I237" t="s">
        <v>3</v>
      </c>
      <c r="J237" s="6">
        <v>1400000022</v>
      </c>
      <c r="K237" t="s">
        <v>0</v>
      </c>
      <c r="L237" s="3">
        <v>3407</v>
      </c>
      <c r="M237" s="3">
        <v>3376</v>
      </c>
      <c r="N237" s="6">
        <v>140000</v>
      </c>
      <c r="O237" s="6">
        <v>1050</v>
      </c>
      <c r="P237">
        <v>-136</v>
      </c>
      <c r="Q237" t="s">
        <v>28</v>
      </c>
    </row>
    <row r="238" spans="1:17" ht="13.95" customHeight="1" outlineLevel="3" x14ac:dyDescent="0.25">
      <c r="A238" t="s">
        <v>1</v>
      </c>
      <c r="B238" s="2">
        <v>40633</v>
      </c>
      <c r="C238" s="2">
        <v>40633</v>
      </c>
      <c r="D238" s="2">
        <v>40678</v>
      </c>
      <c r="E238" s="2"/>
      <c r="F238" t="s">
        <v>2</v>
      </c>
      <c r="G238" s="3">
        <v>45</v>
      </c>
      <c r="H238" s="4">
        <v>46983.94</v>
      </c>
      <c r="I238" t="s">
        <v>3</v>
      </c>
      <c r="J238" s="6">
        <v>1400000021</v>
      </c>
      <c r="K238" t="s">
        <v>0</v>
      </c>
      <c r="L238" s="3">
        <v>3407</v>
      </c>
      <c r="M238" s="3">
        <v>3376</v>
      </c>
      <c r="N238" s="6">
        <v>140000</v>
      </c>
      <c r="O238" s="6">
        <v>1050</v>
      </c>
      <c r="P238">
        <v>-136</v>
      </c>
      <c r="Q238" t="s">
        <v>28</v>
      </c>
    </row>
    <row r="239" spans="1:17" ht="13.95" customHeight="1" outlineLevel="3" x14ac:dyDescent="0.25">
      <c r="A239" t="s">
        <v>1</v>
      </c>
      <c r="B239" s="2">
        <v>40602</v>
      </c>
      <c r="C239" s="2">
        <v>40602</v>
      </c>
      <c r="D239" s="2">
        <v>40647</v>
      </c>
      <c r="E239" s="2"/>
      <c r="F239" t="s">
        <v>2</v>
      </c>
      <c r="G239" s="3">
        <v>45</v>
      </c>
      <c r="H239" s="4">
        <v>40643.26</v>
      </c>
      <c r="I239" t="s">
        <v>3</v>
      </c>
      <c r="J239" s="6">
        <v>1400000017</v>
      </c>
      <c r="K239" t="s">
        <v>0</v>
      </c>
      <c r="L239" s="3">
        <v>3438</v>
      </c>
      <c r="M239" s="3">
        <v>3407</v>
      </c>
      <c r="N239" s="6">
        <v>140000</v>
      </c>
      <c r="O239" s="6">
        <v>1050</v>
      </c>
      <c r="P239">
        <v>-105</v>
      </c>
      <c r="Q239" t="s">
        <v>28</v>
      </c>
    </row>
    <row r="240" spans="1:17" ht="13.95" customHeight="1" outlineLevel="3" x14ac:dyDescent="0.25">
      <c r="A240" t="s">
        <v>1</v>
      </c>
      <c r="B240" s="2">
        <v>40602</v>
      </c>
      <c r="C240" s="2">
        <v>40602</v>
      </c>
      <c r="D240" s="2">
        <v>40647</v>
      </c>
      <c r="E240" s="2"/>
      <c r="F240" t="s">
        <v>2</v>
      </c>
      <c r="G240" s="3">
        <v>45</v>
      </c>
      <c r="H240" s="4">
        <v>31638.77</v>
      </c>
      <c r="I240" t="s">
        <v>3</v>
      </c>
      <c r="J240" s="6">
        <v>1400000016</v>
      </c>
      <c r="K240" t="s">
        <v>0</v>
      </c>
      <c r="L240" s="3">
        <v>3438</v>
      </c>
      <c r="M240" s="3">
        <v>3407</v>
      </c>
      <c r="N240" s="6">
        <v>140000</v>
      </c>
      <c r="O240" s="6">
        <v>1050</v>
      </c>
      <c r="P240">
        <v>-105</v>
      </c>
      <c r="Q240" t="s">
        <v>28</v>
      </c>
    </row>
    <row r="241" spans="1:17" ht="13.95" customHeight="1" outlineLevel="3" x14ac:dyDescent="0.25">
      <c r="A241" t="s">
        <v>1</v>
      </c>
      <c r="B241" s="2">
        <v>40602</v>
      </c>
      <c r="C241" s="2">
        <v>40602</v>
      </c>
      <c r="D241" s="2">
        <v>40647</v>
      </c>
      <c r="E241" s="2"/>
      <c r="F241" t="s">
        <v>2</v>
      </c>
      <c r="G241" s="3">
        <v>45</v>
      </c>
      <c r="H241" s="4">
        <v>43369.79</v>
      </c>
      <c r="I241" t="s">
        <v>3</v>
      </c>
      <c r="J241" s="6">
        <v>1400000015</v>
      </c>
      <c r="K241" t="s">
        <v>0</v>
      </c>
      <c r="L241" s="3">
        <v>3438</v>
      </c>
      <c r="M241" s="3">
        <v>3407</v>
      </c>
      <c r="N241" s="6">
        <v>140000</v>
      </c>
      <c r="O241" s="6">
        <v>1050</v>
      </c>
      <c r="P241">
        <v>-105</v>
      </c>
      <c r="Q241" t="s">
        <v>28</v>
      </c>
    </row>
    <row r="242" spans="1:17" ht="13.95" customHeight="1" outlineLevel="3" x14ac:dyDescent="0.25">
      <c r="A242" t="s">
        <v>1</v>
      </c>
      <c r="B242" s="2">
        <v>40724</v>
      </c>
      <c r="C242" s="2">
        <v>40724</v>
      </c>
      <c r="D242" s="2">
        <v>40769</v>
      </c>
      <c r="E242" s="2"/>
      <c r="F242" t="s">
        <v>2</v>
      </c>
      <c r="G242" s="3">
        <v>45</v>
      </c>
      <c r="H242" s="4">
        <v>55367.839999999997</v>
      </c>
      <c r="I242" t="s">
        <v>3</v>
      </c>
      <c r="J242" s="6">
        <v>1400000050</v>
      </c>
      <c r="K242" t="s">
        <v>0</v>
      </c>
      <c r="L242" s="3">
        <v>3316</v>
      </c>
      <c r="M242" s="3">
        <v>3285</v>
      </c>
      <c r="N242" s="6">
        <v>140000</v>
      </c>
      <c r="O242" s="6">
        <v>1050</v>
      </c>
      <c r="P242">
        <v>966</v>
      </c>
      <c r="Q242" t="s">
        <v>32</v>
      </c>
    </row>
    <row r="243" spans="1:17" ht="13.95" customHeight="1" outlineLevel="3" x14ac:dyDescent="0.25">
      <c r="A243" t="s">
        <v>1</v>
      </c>
      <c r="B243" s="2">
        <v>40816</v>
      </c>
      <c r="C243" s="2">
        <v>40816</v>
      </c>
      <c r="D243" s="2">
        <v>40861</v>
      </c>
      <c r="E243" s="2"/>
      <c r="F243" t="s">
        <v>2</v>
      </c>
      <c r="G243" s="3">
        <v>45</v>
      </c>
      <c r="H243" s="4">
        <v>48771.91</v>
      </c>
      <c r="I243" t="s">
        <v>3</v>
      </c>
      <c r="J243" s="6">
        <v>1400000082</v>
      </c>
      <c r="K243" t="s">
        <v>0</v>
      </c>
      <c r="L243" s="3">
        <v>3224</v>
      </c>
      <c r="M243" s="3">
        <v>3193</v>
      </c>
      <c r="N243" s="6">
        <v>140000</v>
      </c>
      <c r="O243" s="6">
        <v>1050</v>
      </c>
      <c r="P243">
        <v>47</v>
      </c>
      <c r="Q243" t="s">
        <v>29</v>
      </c>
    </row>
    <row r="244" spans="1:17" ht="13.95" customHeight="1" outlineLevel="3" x14ac:dyDescent="0.25">
      <c r="A244" t="s">
        <v>1</v>
      </c>
      <c r="B244" s="2">
        <v>40816</v>
      </c>
      <c r="C244" s="2">
        <v>40816</v>
      </c>
      <c r="D244" s="2">
        <v>40861</v>
      </c>
      <c r="E244" s="2"/>
      <c r="F244" t="s">
        <v>2</v>
      </c>
      <c r="G244" s="3">
        <v>45</v>
      </c>
      <c r="H244" s="4">
        <v>55367.839999999997</v>
      </c>
      <c r="I244" t="s">
        <v>3</v>
      </c>
      <c r="J244" s="6">
        <v>1400000081</v>
      </c>
      <c r="K244" t="s">
        <v>0</v>
      </c>
      <c r="L244" s="3">
        <v>3224</v>
      </c>
      <c r="M244" s="3">
        <v>3193</v>
      </c>
      <c r="N244" s="6">
        <v>140000</v>
      </c>
      <c r="O244" s="6">
        <v>1050</v>
      </c>
      <c r="P244">
        <v>47</v>
      </c>
      <c r="Q244" t="s">
        <v>29</v>
      </c>
    </row>
    <row r="245" spans="1:17" ht="13.95" customHeight="1" outlineLevel="3" x14ac:dyDescent="0.25">
      <c r="A245" t="s">
        <v>1</v>
      </c>
      <c r="B245" s="2">
        <v>40816</v>
      </c>
      <c r="C245" s="2">
        <v>40816</v>
      </c>
      <c r="D245" s="2">
        <v>40861</v>
      </c>
      <c r="E245" s="2"/>
      <c r="F245" t="s">
        <v>2</v>
      </c>
      <c r="G245" s="3">
        <v>45</v>
      </c>
      <c r="H245" s="4">
        <v>18070.75</v>
      </c>
      <c r="I245" t="s">
        <v>3</v>
      </c>
      <c r="J245" s="6">
        <v>1400000080</v>
      </c>
      <c r="K245" t="s">
        <v>0</v>
      </c>
      <c r="L245" s="3">
        <v>3224</v>
      </c>
      <c r="M245" s="3">
        <v>3193</v>
      </c>
      <c r="N245" s="6">
        <v>140000</v>
      </c>
      <c r="O245" s="6">
        <v>1050</v>
      </c>
      <c r="P245">
        <v>-286</v>
      </c>
      <c r="Q245" t="s">
        <v>28</v>
      </c>
    </row>
    <row r="246" spans="1:17" ht="13.95" customHeight="1" outlineLevel="3" x14ac:dyDescent="0.25">
      <c r="A246" t="s">
        <v>1</v>
      </c>
      <c r="B246" s="2">
        <v>40816</v>
      </c>
      <c r="C246" s="2">
        <v>40816</v>
      </c>
      <c r="D246" s="2">
        <v>40861</v>
      </c>
      <c r="E246" s="2"/>
      <c r="F246" t="s">
        <v>2</v>
      </c>
      <c r="G246" s="3">
        <v>45</v>
      </c>
      <c r="H246" s="4">
        <v>44707.59</v>
      </c>
      <c r="I246" t="s">
        <v>3</v>
      </c>
      <c r="J246" s="6">
        <v>1400000079</v>
      </c>
      <c r="K246" t="s">
        <v>0</v>
      </c>
      <c r="L246" s="3">
        <v>3224</v>
      </c>
      <c r="M246" s="3">
        <v>3193</v>
      </c>
      <c r="N246" s="6">
        <v>140000</v>
      </c>
      <c r="O246" s="6">
        <v>1050</v>
      </c>
      <c r="P246">
        <v>-286</v>
      </c>
      <c r="Q246" t="s">
        <v>28</v>
      </c>
    </row>
    <row r="247" spans="1:17" ht="13.95" customHeight="1" outlineLevel="3" x14ac:dyDescent="0.25">
      <c r="A247" t="s">
        <v>1</v>
      </c>
      <c r="B247" s="2">
        <v>40816</v>
      </c>
      <c r="C247" s="2">
        <v>40816</v>
      </c>
      <c r="D247" s="2">
        <v>40861</v>
      </c>
      <c r="E247" s="2"/>
      <c r="F247" t="s">
        <v>2</v>
      </c>
      <c r="G247" s="3">
        <v>45</v>
      </c>
      <c r="H247" s="4">
        <v>47458.15</v>
      </c>
      <c r="I247" t="s">
        <v>3</v>
      </c>
      <c r="J247" s="6">
        <v>1400000078</v>
      </c>
      <c r="K247" t="s">
        <v>0</v>
      </c>
      <c r="L247" s="3">
        <v>3224</v>
      </c>
      <c r="M247" s="3">
        <v>3193</v>
      </c>
      <c r="N247" s="6">
        <v>140000</v>
      </c>
      <c r="O247" s="6">
        <v>1050</v>
      </c>
      <c r="P247">
        <v>-286</v>
      </c>
      <c r="Q247" t="s">
        <v>28</v>
      </c>
    </row>
    <row r="248" spans="1:17" ht="13.95" customHeight="1" outlineLevel="3" x14ac:dyDescent="0.25">
      <c r="A248" t="s">
        <v>1</v>
      </c>
      <c r="B248" s="2">
        <v>40816</v>
      </c>
      <c r="C248" s="2">
        <v>40816</v>
      </c>
      <c r="D248" s="2">
        <v>40861</v>
      </c>
      <c r="E248" s="2"/>
      <c r="F248" t="s">
        <v>2</v>
      </c>
      <c r="G248" s="3">
        <v>45</v>
      </c>
      <c r="H248" s="4">
        <v>18070.75</v>
      </c>
      <c r="I248" t="s">
        <v>3</v>
      </c>
      <c r="J248" s="6">
        <v>1400000077</v>
      </c>
      <c r="K248" t="s">
        <v>0</v>
      </c>
      <c r="L248" s="3">
        <v>3224</v>
      </c>
      <c r="M248" s="3">
        <v>3193</v>
      </c>
      <c r="N248" s="6">
        <v>140000</v>
      </c>
      <c r="O248" s="6">
        <v>1050</v>
      </c>
      <c r="P248">
        <v>47</v>
      </c>
      <c r="Q248" t="s">
        <v>29</v>
      </c>
    </row>
    <row r="249" spans="1:17" ht="13.95" customHeight="1" outlineLevel="3" x14ac:dyDescent="0.25">
      <c r="A249" t="s">
        <v>1</v>
      </c>
      <c r="B249" s="2">
        <v>40786</v>
      </c>
      <c r="C249" s="2">
        <v>40786</v>
      </c>
      <c r="D249" s="2">
        <v>40831</v>
      </c>
      <c r="E249" s="2"/>
      <c r="F249" t="s">
        <v>2</v>
      </c>
      <c r="G249" s="3">
        <v>45</v>
      </c>
      <c r="H249" s="4">
        <v>36578.93</v>
      </c>
      <c r="I249" t="s">
        <v>3</v>
      </c>
      <c r="J249" s="6">
        <v>1400000073</v>
      </c>
      <c r="K249" t="s">
        <v>0</v>
      </c>
      <c r="L249" s="3">
        <v>3254</v>
      </c>
      <c r="M249" s="3">
        <v>3223</v>
      </c>
      <c r="N249" s="6">
        <v>140000</v>
      </c>
      <c r="O249" s="6">
        <v>1050</v>
      </c>
      <c r="P249">
        <v>77</v>
      </c>
      <c r="Q249" t="s">
        <v>29</v>
      </c>
    </row>
    <row r="250" spans="1:17" ht="13.95" customHeight="1" outlineLevel="3" x14ac:dyDescent="0.25">
      <c r="A250" t="s">
        <v>1</v>
      </c>
      <c r="B250" s="2">
        <v>40786</v>
      </c>
      <c r="C250" s="2">
        <v>40786</v>
      </c>
      <c r="D250" s="2">
        <v>40831</v>
      </c>
      <c r="E250" s="2"/>
      <c r="F250" t="s">
        <v>2</v>
      </c>
      <c r="G250" s="3">
        <v>45</v>
      </c>
      <c r="H250" s="4">
        <v>63277.54</v>
      </c>
      <c r="I250" t="s">
        <v>3</v>
      </c>
      <c r="J250" s="6">
        <v>1400000072</v>
      </c>
      <c r="K250" t="s">
        <v>0</v>
      </c>
      <c r="L250" s="3">
        <v>3254</v>
      </c>
      <c r="M250" s="3">
        <v>3223</v>
      </c>
      <c r="N250" s="6">
        <v>140000</v>
      </c>
      <c r="O250" s="6">
        <v>1050</v>
      </c>
      <c r="P250">
        <v>77</v>
      </c>
      <c r="Q250" t="s">
        <v>29</v>
      </c>
    </row>
    <row r="251" spans="1:17" ht="13.95" customHeight="1" outlineLevel="3" x14ac:dyDescent="0.25">
      <c r="A251" t="s">
        <v>1</v>
      </c>
      <c r="B251" s="2">
        <v>40786</v>
      </c>
      <c r="C251" s="2">
        <v>40786</v>
      </c>
      <c r="D251" s="2">
        <v>40831</v>
      </c>
      <c r="E251" s="2"/>
      <c r="F251" t="s">
        <v>2</v>
      </c>
      <c r="G251" s="3">
        <v>45</v>
      </c>
      <c r="H251" s="4">
        <v>21684.89</v>
      </c>
      <c r="I251" t="s">
        <v>3</v>
      </c>
      <c r="J251" s="6">
        <v>1400000071</v>
      </c>
      <c r="K251" t="s">
        <v>0</v>
      </c>
      <c r="L251" s="3">
        <v>3254</v>
      </c>
      <c r="M251" s="3">
        <v>3223</v>
      </c>
      <c r="N251" s="6">
        <v>140000</v>
      </c>
      <c r="O251" s="6">
        <v>1050</v>
      </c>
      <c r="P251">
        <v>77</v>
      </c>
      <c r="Q251" t="s">
        <v>29</v>
      </c>
    </row>
    <row r="252" spans="1:17" ht="13.95" customHeight="1" outlineLevel="3" x14ac:dyDescent="0.25">
      <c r="A252" t="s">
        <v>1</v>
      </c>
      <c r="B252" s="2">
        <v>40786</v>
      </c>
      <c r="C252" s="2">
        <v>40786</v>
      </c>
      <c r="D252" s="2">
        <v>40831</v>
      </c>
      <c r="E252" s="2"/>
      <c r="F252" t="s">
        <v>2</v>
      </c>
      <c r="G252" s="3">
        <v>45</v>
      </c>
      <c r="H252" s="4">
        <v>40643.26</v>
      </c>
      <c r="I252" t="s">
        <v>3</v>
      </c>
      <c r="J252" s="6">
        <v>1400000070</v>
      </c>
      <c r="K252" t="s">
        <v>0</v>
      </c>
      <c r="L252" s="3">
        <v>3254</v>
      </c>
      <c r="M252" s="3">
        <v>3223</v>
      </c>
      <c r="N252" s="6">
        <v>140000</v>
      </c>
      <c r="O252" s="6">
        <v>1050</v>
      </c>
      <c r="P252">
        <v>77</v>
      </c>
      <c r="Q252" t="s">
        <v>29</v>
      </c>
    </row>
    <row r="253" spans="1:17" ht="13.95" customHeight="1" outlineLevel="3" x14ac:dyDescent="0.25">
      <c r="A253" t="s">
        <v>1</v>
      </c>
      <c r="B253" s="2">
        <v>40786</v>
      </c>
      <c r="C253" s="2">
        <v>40786</v>
      </c>
      <c r="D253" s="2">
        <v>40831</v>
      </c>
      <c r="E253" s="2"/>
      <c r="F253" t="s">
        <v>2</v>
      </c>
      <c r="G253" s="3">
        <v>45</v>
      </c>
      <c r="H253" s="4">
        <v>51413</v>
      </c>
      <c r="I253" t="s">
        <v>3</v>
      </c>
      <c r="J253" s="6">
        <v>1400000069</v>
      </c>
      <c r="K253" t="s">
        <v>0</v>
      </c>
      <c r="L253" s="3">
        <v>3254</v>
      </c>
      <c r="M253" s="3">
        <v>3223</v>
      </c>
      <c r="N253" s="6">
        <v>140000</v>
      </c>
      <c r="O253" s="6">
        <v>1050</v>
      </c>
      <c r="P253">
        <v>930</v>
      </c>
      <c r="Q253" t="s">
        <v>32</v>
      </c>
    </row>
    <row r="254" spans="1:17" ht="13.95" customHeight="1" outlineLevel="3" x14ac:dyDescent="0.25">
      <c r="A254" t="s">
        <v>1</v>
      </c>
      <c r="B254" s="2">
        <v>40786</v>
      </c>
      <c r="C254" s="2">
        <v>40786</v>
      </c>
      <c r="D254" s="2">
        <v>40831</v>
      </c>
      <c r="E254" s="2"/>
      <c r="F254" t="s">
        <v>2</v>
      </c>
      <c r="G254" s="3">
        <v>45</v>
      </c>
      <c r="H254" s="4">
        <v>14456.6</v>
      </c>
      <c r="I254" t="s">
        <v>3</v>
      </c>
      <c r="J254" s="6">
        <v>1400000068</v>
      </c>
      <c r="K254" t="s">
        <v>0</v>
      </c>
      <c r="L254" s="3">
        <v>3254</v>
      </c>
      <c r="M254" s="3">
        <v>3223</v>
      </c>
      <c r="N254" s="6">
        <v>140000</v>
      </c>
      <c r="O254" s="6">
        <v>1050</v>
      </c>
      <c r="P254">
        <v>930</v>
      </c>
      <c r="Q254" t="s">
        <v>32</v>
      </c>
    </row>
    <row r="255" spans="1:17" ht="13.95" customHeight="1" outlineLevel="3" x14ac:dyDescent="0.25">
      <c r="A255" t="s">
        <v>1</v>
      </c>
      <c r="B255" s="2">
        <v>40755</v>
      </c>
      <c r="C255" s="2">
        <v>40755</v>
      </c>
      <c r="D255" s="2">
        <v>40800</v>
      </c>
      <c r="E255" s="2"/>
      <c r="F255" t="s">
        <v>2</v>
      </c>
      <c r="G255" s="3">
        <v>45</v>
      </c>
      <c r="H255" s="4">
        <v>24385.96</v>
      </c>
      <c r="I255" t="s">
        <v>3</v>
      </c>
      <c r="J255" s="6">
        <v>1400000064</v>
      </c>
      <c r="K255" t="s">
        <v>0</v>
      </c>
      <c r="L255" s="3">
        <v>3285</v>
      </c>
      <c r="M255" s="3">
        <v>3254</v>
      </c>
      <c r="N255" s="6">
        <v>140000</v>
      </c>
      <c r="O255" s="6">
        <v>1050</v>
      </c>
      <c r="P255">
        <v>108</v>
      </c>
      <c r="Q255" t="s">
        <v>30</v>
      </c>
    </row>
    <row r="256" spans="1:17" ht="13.95" customHeight="1" outlineLevel="3" x14ac:dyDescent="0.25">
      <c r="A256" t="s">
        <v>1</v>
      </c>
      <c r="B256" s="2">
        <v>40755</v>
      </c>
      <c r="C256" s="2">
        <v>40755</v>
      </c>
      <c r="D256" s="2">
        <v>40800</v>
      </c>
      <c r="E256" s="2"/>
      <c r="F256" t="s">
        <v>2</v>
      </c>
      <c r="G256" s="3">
        <v>45</v>
      </c>
      <c r="H256" s="4">
        <v>67232.38</v>
      </c>
      <c r="I256" t="s">
        <v>3</v>
      </c>
      <c r="J256" s="6">
        <v>1400000063</v>
      </c>
      <c r="K256" t="s">
        <v>0</v>
      </c>
      <c r="L256" s="3">
        <v>3285</v>
      </c>
      <c r="M256" s="3">
        <v>3254</v>
      </c>
      <c r="N256" s="6">
        <v>140000</v>
      </c>
      <c r="O256" s="6">
        <v>1050</v>
      </c>
      <c r="P256">
        <v>108</v>
      </c>
      <c r="Q256" t="s">
        <v>30</v>
      </c>
    </row>
    <row r="257" spans="1:17" ht="13.95" customHeight="1" outlineLevel="3" x14ac:dyDescent="0.25">
      <c r="A257" t="s">
        <v>1</v>
      </c>
      <c r="B257" s="2">
        <v>40755</v>
      </c>
      <c r="C257" s="2">
        <v>40755</v>
      </c>
      <c r="D257" s="2">
        <v>40800</v>
      </c>
      <c r="E257" s="2"/>
      <c r="F257" t="s">
        <v>2</v>
      </c>
      <c r="G257" s="3">
        <v>45</v>
      </c>
      <c r="H257" s="4">
        <v>21684.89</v>
      </c>
      <c r="I257" t="s">
        <v>3</v>
      </c>
      <c r="J257" s="6">
        <v>1400000062</v>
      </c>
      <c r="K257" t="s">
        <v>0</v>
      </c>
      <c r="L257" s="3">
        <v>3285</v>
      </c>
      <c r="M257" s="3">
        <v>3254</v>
      </c>
      <c r="N257" s="6">
        <v>140000</v>
      </c>
      <c r="O257" s="6">
        <v>1050</v>
      </c>
      <c r="P257">
        <v>108</v>
      </c>
      <c r="Q257" t="s">
        <v>30</v>
      </c>
    </row>
    <row r="258" spans="1:17" ht="13.95" customHeight="1" outlineLevel="3" x14ac:dyDescent="0.25">
      <c r="A258" t="s">
        <v>1</v>
      </c>
      <c r="B258" s="2">
        <v>40755</v>
      </c>
      <c r="C258" s="2">
        <v>40755</v>
      </c>
      <c r="D258" s="2">
        <v>40800</v>
      </c>
      <c r="E258" s="2"/>
      <c r="F258" t="s">
        <v>2</v>
      </c>
      <c r="G258" s="3">
        <v>45</v>
      </c>
      <c r="H258" s="4">
        <v>28450.28</v>
      </c>
      <c r="I258" t="s">
        <v>3</v>
      </c>
      <c r="J258" s="6">
        <v>1400000061</v>
      </c>
      <c r="K258" t="s">
        <v>0</v>
      </c>
      <c r="L258" s="3">
        <v>3285</v>
      </c>
      <c r="M258" s="3">
        <v>3254</v>
      </c>
      <c r="N258" s="6">
        <v>140000</v>
      </c>
      <c r="O258" s="6">
        <v>1050</v>
      </c>
      <c r="P258">
        <v>108</v>
      </c>
      <c r="Q258" t="s">
        <v>30</v>
      </c>
    </row>
    <row r="259" spans="1:17" ht="13.95" customHeight="1" outlineLevel="3" x14ac:dyDescent="0.25">
      <c r="A259" t="s">
        <v>1</v>
      </c>
      <c r="B259" s="2">
        <v>40755</v>
      </c>
      <c r="C259" s="2">
        <v>40755</v>
      </c>
      <c r="D259" s="2">
        <v>40800</v>
      </c>
      <c r="E259" s="2"/>
      <c r="F259" t="s">
        <v>2</v>
      </c>
      <c r="G259" s="3">
        <v>45</v>
      </c>
      <c r="H259" s="4">
        <v>63277.54</v>
      </c>
      <c r="I259" t="s">
        <v>3</v>
      </c>
      <c r="J259" s="6">
        <v>1400000060</v>
      </c>
      <c r="K259" t="s">
        <v>0</v>
      </c>
      <c r="L259" s="3">
        <v>3285</v>
      </c>
      <c r="M259" s="3">
        <v>3254</v>
      </c>
      <c r="N259" s="6">
        <v>140000</v>
      </c>
      <c r="O259" s="6">
        <v>1050</v>
      </c>
      <c r="P259">
        <v>108</v>
      </c>
      <c r="Q259" t="s">
        <v>30</v>
      </c>
    </row>
    <row r="260" spans="1:17" ht="13.95" customHeight="1" outlineLevel="3" x14ac:dyDescent="0.25">
      <c r="A260" t="s">
        <v>1</v>
      </c>
      <c r="B260" s="2">
        <v>40755</v>
      </c>
      <c r="C260" s="2">
        <v>40755</v>
      </c>
      <c r="D260" s="2">
        <v>40800</v>
      </c>
      <c r="E260" s="2"/>
      <c r="F260" t="s">
        <v>2</v>
      </c>
      <c r="G260" s="3">
        <v>45</v>
      </c>
      <c r="H260" s="4">
        <v>21684.89</v>
      </c>
      <c r="I260" t="s">
        <v>3</v>
      </c>
      <c r="J260" s="6">
        <v>1400000059</v>
      </c>
      <c r="K260" t="s">
        <v>0</v>
      </c>
      <c r="L260" s="3">
        <v>3285</v>
      </c>
      <c r="M260" s="3">
        <v>3254</v>
      </c>
      <c r="N260" s="6">
        <v>140000</v>
      </c>
      <c r="O260" s="6">
        <v>1050</v>
      </c>
      <c r="P260">
        <v>108</v>
      </c>
      <c r="Q260" t="s">
        <v>30</v>
      </c>
    </row>
    <row r="261" spans="1:17" ht="13.95" customHeight="1" outlineLevel="3" x14ac:dyDescent="0.25">
      <c r="A261" t="s">
        <v>1</v>
      </c>
      <c r="B261" s="2">
        <v>40724</v>
      </c>
      <c r="C261" s="2">
        <v>40724</v>
      </c>
      <c r="D261" s="2">
        <v>40769</v>
      </c>
      <c r="E261" s="2"/>
      <c r="F261" t="s">
        <v>2</v>
      </c>
      <c r="G261" s="3">
        <v>45</v>
      </c>
      <c r="H261" s="4">
        <v>16257.3</v>
      </c>
      <c r="I261" t="s">
        <v>3</v>
      </c>
      <c r="J261" s="6">
        <v>1400000054</v>
      </c>
      <c r="K261" t="s">
        <v>0</v>
      </c>
      <c r="L261" s="3">
        <v>3316</v>
      </c>
      <c r="M261" s="3">
        <v>3285</v>
      </c>
      <c r="N261" s="6">
        <v>140000</v>
      </c>
      <c r="O261" s="6">
        <v>1050</v>
      </c>
      <c r="P261">
        <v>-2358</v>
      </c>
      <c r="Q261" t="s">
        <v>28</v>
      </c>
    </row>
    <row r="262" spans="1:17" ht="13.95" customHeight="1" outlineLevel="3" x14ac:dyDescent="0.25">
      <c r="A262" t="s">
        <v>1</v>
      </c>
      <c r="B262" s="2">
        <v>40724</v>
      </c>
      <c r="C262" s="2">
        <v>40724</v>
      </c>
      <c r="D262" s="2">
        <v>40769</v>
      </c>
      <c r="E262" s="2"/>
      <c r="F262" t="s">
        <v>2</v>
      </c>
      <c r="G262" s="3">
        <v>45</v>
      </c>
      <c r="H262" s="4">
        <v>59322.69</v>
      </c>
      <c r="I262" t="s">
        <v>3</v>
      </c>
      <c r="J262" s="6">
        <v>1400000053</v>
      </c>
      <c r="K262" t="s">
        <v>0</v>
      </c>
      <c r="L262" s="3">
        <v>3316</v>
      </c>
      <c r="M262" s="3">
        <v>3285</v>
      </c>
      <c r="N262" s="6">
        <v>140000</v>
      </c>
      <c r="O262" s="6">
        <v>1050</v>
      </c>
      <c r="P262">
        <v>139</v>
      </c>
      <c r="Q262" t="s">
        <v>30</v>
      </c>
    </row>
    <row r="263" spans="1:17" ht="13.95" customHeight="1" outlineLevel="3" x14ac:dyDescent="0.25">
      <c r="A263" t="s">
        <v>1</v>
      </c>
      <c r="B263" s="2">
        <v>40724</v>
      </c>
      <c r="C263" s="2">
        <v>40724</v>
      </c>
      <c r="D263" s="2">
        <v>40769</v>
      </c>
      <c r="E263" s="2"/>
      <c r="F263" t="s">
        <v>2</v>
      </c>
      <c r="G263" s="3">
        <v>45</v>
      </c>
      <c r="H263" s="4">
        <v>28913.19</v>
      </c>
      <c r="I263" t="s">
        <v>3</v>
      </c>
      <c r="J263" s="6">
        <v>1400000052</v>
      </c>
      <c r="K263" t="s">
        <v>0</v>
      </c>
      <c r="L263" s="3">
        <v>3316</v>
      </c>
      <c r="M263" s="3">
        <v>3285</v>
      </c>
      <c r="N263" s="6">
        <v>140000</v>
      </c>
      <c r="O263" s="6">
        <v>1050</v>
      </c>
      <c r="P263">
        <v>139</v>
      </c>
      <c r="Q263" t="s">
        <v>30</v>
      </c>
    </row>
    <row r="264" spans="1:17" ht="13.95" customHeight="1" outlineLevel="3" x14ac:dyDescent="0.25">
      <c r="A264" t="s">
        <v>1</v>
      </c>
      <c r="B264" s="2">
        <v>40724</v>
      </c>
      <c r="C264" s="2">
        <v>40724</v>
      </c>
      <c r="D264" s="2">
        <v>40769</v>
      </c>
      <c r="E264" s="2"/>
      <c r="F264" t="s">
        <v>2</v>
      </c>
      <c r="G264" s="3">
        <v>45</v>
      </c>
      <c r="H264" s="4">
        <v>24385.96</v>
      </c>
      <c r="I264" t="s">
        <v>3</v>
      </c>
      <c r="J264" s="6">
        <v>1400000051</v>
      </c>
      <c r="K264" t="s">
        <v>0</v>
      </c>
      <c r="L264" s="3">
        <v>3316</v>
      </c>
      <c r="M264" s="3">
        <v>3285</v>
      </c>
      <c r="N264" s="6">
        <v>140000</v>
      </c>
      <c r="O264" s="6">
        <v>1050</v>
      </c>
      <c r="P264">
        <v>-2380</v>
      </c>
      <c r="Q264" t="s">
        <v>28</v>
      </c>
    </row>
    <row r="265" spans="1:17" ht="13.95" customHeight="1" outlineLevel="3" x14ac:dyDescent="0.25">
      <c r="A265" t="s">
        <v>1</v>
      </c>
      <c r="B265" s="2">
        <v>41060</v>
      </c>
      <c r="C265" s="2">
        <v>41060</v>
      </c>
      <c r="D265" s="2">
        <v>41105</v>
      </c>
      <c r="E265" s="2"/>
      <c r="F265" t="s">
        <v>2</v>
      </c>
      <c r="G265" s="3">
        <v>45</v>
      </c>
      <c r="H265" s="4">
        <v>34926.65</v>
      </c>
      <c r="I265" t="s">
        <v>3</v>
      </c>
      <c r="J265" s="6">
        <v>1400000042</v>
      </c>
      <c r="K265" t="s">
        <v>0</v>
      </c>
      <c r="L265" s="3">
        <v>2980</v>
      </c>
      <c r="M265" s="3">
        <v>2949</v>
      </c>
      <c r="N265" s="6">
        <v>140000</v>
      </c>
      <c r="O265" s="6">
        <v>1050</v>
      </c>
      <c r="P265">
        <v>169</v>
      </c>
      <c r="Q265" t="s">
        <v>30</v>
      </c>
    </row>
    <row r="266" spans="1:17" ht="13.95" customHeight="1" outlineLevel="3" x14ac:dyDescent="0.25">
      <c r="A266" t="s">
        <v>1</v>
      </c>
      <c r="B266" s="2">
        <v>41394</v>
      </c>
      <c r="C266" s="2">
        <v>41394</v>
      </c>
      <c r="D266" s="2">
        <v>41439</v>
      </c>
      <c r="E266" s="2"/>
      <c r="F266" t="s">
        <v>2</v>
      </c>
      <c r="G266" s="3">
        <v>45</v>
      </c>
      <c r="H266" s="4">
        <v>38219.1</v>
      </c>
      <c r="I266" t="s">
        <v>3</v>
      </c>
      <c r="J266" s="6">
        <v>1400000034</v>
      </c>
      <c r="K266" t="s">
        <v>0</v>
      </c>
      <c r="L266" s="3">
        <v>2646</v>
      </c>
      <c r="M266" s="3">
        <v>2615</v>
      </c>
      <c r="N266" s="6">
        <v>140000</v>
      </c>
      <c r="O266" s="6">
        <v>1050</v>
      </c>
      <c r="P266">
        <v>-166</v>
      </c>
      <c r="Q266" t="s">
        <v>28</v>
      </c>
    </row>
    <row r="267" spans="1:17" ht="13.95" customHeight="1" outlineLevel="3" x14ac:dyDescent="0.25">
      <c r="A267" t="s">
        <v>1</v>
      </c>
      <c r="B267" s="2">
        <v>41394</v>
      </c>
      <c r="C267" s="2">
        <v>41394</v>
      </c>
      <c r="D267" s="2">
        <v>41439</v>
      </c>
      <c r="E267" s="2"/>
      <c r="F267" t="s">
        <v>2</v>
      </c>
      <c r="G267" s="3">
        <v>45</v>
      </c>
      <c r="H267" s="4">
        <v>45404.65</v>
      </c>
      <c r="I267" t="s">
        <v>3</v>
      </c>
      <c r="J267" s="6">
        <v>1400000033</v>
      </c>
      <c r="K267" t="s">
        <v>0</v>
      </c>
      <c r="L267" s="3">
        <v>2646</v>
      </c>
      <c r="M267" s="3">
        <v>2615</v>
      </c>
      <c r="N267" s="6">
        <v>140000</v>
      </c>
      <c r="O267" s="6">
        <v>1050</v>
      </c>
      <c r="P267">
        <v>-166</v>
      </c>
      <c r="Q267" t="s">
        <v>28</v>
      </c>
    </row>
    <row r="268" spans="1:17" ht="13.95" customHeight="1" outlineLevel="3" x14ac:dyDescent="0.25">
      <c r="A268" t="s">
        <v>1</v>
      </c>
      <c r="B268" s="2">
        <v>41394</v>
      </c>
      <c r="C268" s="2">
        <v>41394</v>
      </c>
      <c r="D268" s="2">
        <v>41439</v>
      </c>
      <c r="E268" s="2"/>
      <c r="F268" t="s">
        <v>2</v>
      </c>
      <c r="G268" s="3">
        <v>45</v>
      </c>
      <c r="H268" s="4">
        <v>19638.55</v>
      </c>
      <c r="I268" t="s">
        <v>3</v>
      </c>
      <c r="J268" s="6">
        <v>1400000032</v>
      </c>
      <c r="K268" t="s">
        <v>0</v>
      </c>
      <c r="L268" s="3">
        <v>2646</v>
      </c>
      <c r="M268" s="3">
        <v>2615</v>
      </c>
      <c r="N268" s="6">
        <v>140000</v>
      </c>
      <c r="O268" s="6">
        <v>1050</v>
      </c>
      <c r="P268">
        <v>-166</v>
      </c>
      <c r="Q268" t="s">
        <v>28</v>
      </c>
    </row>
    <row r="269" spans="1:17" ht="13.95" customHeight="1" outlineLevel="3" x14ac:dyDescent="0.25">
      <c r="A269" t="s">
        <v>1</v>
      </c>
      <c r="B269" s="2">
        <v>41394</v>
      </c>
      <c r="C269" s="2">
        <v>41394</v>
      </c>
      <c r="D269" s="2">
        <v>41439</v>
      </c>
      <c r="E269" s="2"/>
      <c r="F269" t="s">
        <v>2</v>
      </c>
      <c r="G269" s="3">
        <v>45</v>
      </c>
      <c r="H269" s="4">
        <v>42041.01</v>
      </c>
      <c r="I269" t="s">
        <v>3</v>
      </c>
      <c r="J269" s="6">
        <v>1400000031</v>
      </c>
      <c r="K269" t="s">
        <v>0</v>
      </c>
      <c r="L269" s="3">
        <v>2646</v>
      </c>
      <c r="M269" s="3">
        <v>2615</v>
      </c>
      <c r="N269" s="6">
        <v>140000</v>
      </c>
      <c r="O269" s="6">
        <v>1050</v>
      </c>
      <c r="P269">
        <v>1003</v>
      </c>
      <c r="Q269" t="s">
        <v>32</v>
      </c>
    </row>
    <row r="270" spans="1:17" ht="13.95" customHeight="1" outlineLevel="3" x14ac:dyDescent="0.25">
      <c r="A270" t="s">
        <v>1</v>
      </c>
      <c r="B270" s="2">
        <v>41394</v>
      </c>
      <c r="C270" s="2">
        <v>41394</v>
      </c>
      <c r="D270" s="2">
        <v>41439</v>
      </c>
      <c r="E270" s="2"/>
      <c r="F270" t="s">
        <v>2</v>
      </c>
      <c r="G270" s="3">
        <v>45</v>
      </c>
      <c r="H270" s="4">
        <v>38419.32</v>
      </c>
      <c r="I270" t="s">
        <v>3</v>
      </c>
      <c r="J270" s="6">
        <v>1400000030</v>
      </c>
      <c r="K270" t="s">
        <v>0</v>
      </c>
      <c r="L270" s="3">
        <v>2646</v>
      </c>
      <c r="M270" s="3">
        <v>2615</v>
      </c>
      <c r="N270" s="6">
        <v>140000</v>
      </c>
      <c r="O270" s="6">
        <v>1050</v>
      </c>
      <c r="P270">
        <v>1003</v>
      </c>
      <c r="Q270" t="s">
        <v>32</v>
      </c>
    </row>
    <row r="271" spans="1:17" ht="13.95" customHeight="1" outlineLevel="3" x14ac:dyDescent="0.25">
      <c r="A271" t="s">
        <v>1</v>
      </c>
      <c r="B271" s="2">
        <v>41364</v>
      </c>
      <c r="C271" s="2">
        <v>41364</v>
      </c>
      <c r="D271" s="2">
        <v>41409</v>
      </c>
      <c r="E271" s="2"/>
      <c r="F271" t="s">
        <v>2</v>
      </c>
      <c r="G271" s="3">
        <v>45</v>
      </c>
      <c r="H271" s="4">
        <v>31421.68</v>
      </c>
      <c r="I271" t="s">
        <v>3</v>
      </c>
      <c r="J271" s="6">
        <v>1400000026</v>
      </c>
      <c r="K271" t="s">
        <v>0</v>
      </c>
      <c r="L271" s="3">
        <v>2676</v>
      </c>
      <c r="M271" s="3">
        <v>2645</v>
      </c>
      <c r="N271" s="6">
        <v>140000</v>
      </c>
      <c r="O271" s="6">
        <v>1050</v>
      </c>
      <c r="P271">
        <v>-136</v>
      </c>
      <c r="Q271" t="s">
        <v>28</v>
      </c>
    </row>
    <row r="272" spans="1:17" ht="13.95" customHeight="1" outlineLevel="3" x14ac:dyDescent="0.25">
      <c r="A272" t="s">
        <v>1</v>
      </c>
      <c r="B272" s="2">
        <v>41364</v>
      </c>
      <c r="C272" s="2">
        <v>41364</v>
      </c>
      <c r="D272" s="2">
        <v>41409</v>
      </c>
      <c r="E272" s="2"/>
      <c r="F272" t="s">
        <v>2</v>
      </c>
      <c r="G272" s="3">
        <v>45</v>
      </c>
      <c r="H272" s="4">
        <v>34397.19</v>
      </c>
      <c r="I272" t="s">
        <v>3</v>
      </c>
      <c r="J272" s="6">
        <v>1400000025</v>
      </c>
      <c r="K272" t="s">
        <v>0</v>
      </c>
      <c r="L272" s="3">
        <v>2676</v>
      </c>
      <c r="M272" s="3">
        <v>2645</v>
      </c>
      <c r="N272" s="6">
        <v>140000</v>
      </c>
      <c r="O272" s="6">
        <v>1050</v>
      </c>
      <c r="P272">
        <v>-136</v>
      </c>
      <c r="Q272" t="s">
        <v>28</v>
      </c>
    </row>
    <row r="273" spans="1:17" ht="13.95" customHeight="1" outlineLevel="3" x14ac:dyDescent="0.25">
      <c r="A273" t="s">
        <v>1</v>
      </c>
      <c r="B273" s="2">
        <v>41364</v>
      </c>
      <c r="C273" s="2">
        <v>41364</v>
      </c>
      <c r="D273" s="2">
        <v>41409</v>
      </c>
      <c r="E273" s="2"/>
      <c r="F273" t="s">
        <v>2</v>
      </c>
      <c r="G273" s="3">
        <v>45</v>
      </c>
      <c r="H273" s="4">
        <v>38419.32</v>
      </c>
      <c r="I273" t="s">
        <v>3</v>
      </c>
      <c r="J273" s="6">
        <v>1400000024</v>
      </c>
      <c r="K273" t="s">
        <v>0</v>
      </c>
      <c r="L273" s="3">
        <v>2676</v>
      </c>
      <c r="M273" s="3">
        <v>2645</v>
      </c>
      <c r="N273" s="6">
        <v>140000</v>
      </c>
      <c r="O273" s="6">
        <v>1050</v>
      </c>
      <c r="P273">
        <v>-136</v>
      </c>
      <c r="Q273" t="s">
        <v>28</v>
      </c>
    </row>
    <row r="274" spans="1:17" ht="13.95" customHeight="1" outlineLevel="3" x14ac:dyDescent="0.25">
      <c r="A274" t="s">
        <v>1</v>
      </c>
      <c r="B274" s="2">
        <v>41364</v>
      </c>
      <c r="C274" s="2">
        <v>41364</v>
      </c>
      <c r="D274" s="2">
        <v>41409</v>
      </c>
      <c r="E274" s="2"/>
      <c r="F274" t="s">
        <v>2</v>
      </c>
      <c r="G274" s="3">
        <v>45</v>
      </c>
      <c r="H274" s="4">
        <v>27493.97</v>
      </c>
      <c r="I274" t="s">
        <v>3</v>
      </c>
      <c r="J274" s="6">
        <v>1400000023</v>
      </c>
      <c r="K274" t="s">
        <v>0</v>
      </c>
      <c r="L274" s="3">
        <v>2676</v>
      </c>
      <c r="M274" s="3">
        <v>2645</v>
      </c>
      <c r="N274" s="6">
        <v>140000</v>
      </c>
      <c r="O274" s="6">
        <v>1050</v>
      </c>
      <c r="P274">
        <v>-136</v>
      </c>
      <c r="Q274" t="s">
        <v>28</v>
      </c>
    </row>
    <row r="275" spans="1:17" ht="13.95" customHeight="1" outlineLevel="3" x14ac:dyDescent="0.25">
      <c r="A275" t="s">
        <v>1</v>
      </c>
      <c r="B275" s="2">
        <v>41364</v>
      </c>
      <c r="C275" s="2">
        <v>41364</v>
      </c>
      <c r="D275" s="2">
        <v>41409</v>
      </c>
      <c r="E275" s="2"/>
      <c r="F275" t="s">
        <v>2</v>
      </c>
      <c r="G275" s="3">
        <v>45</v>
      </c>
      <c r="H275" s="4">
        <v>30575.279999999999</v>
      </c>
      <c r="I275" t="s">
        <v>3</v>
      </c>
      <c r="J275" s="6">
        <v>1400000022</v>
      </c>
      <c r="K275" t="s">
        <v>0</v>
      </c>
      <c r="L275" s="3">
        <v>2676</v>
      </c>
      <c r="M275" s="3">
        <v>2645</v>
      </c>
      <c r="N275" s="6">
        <v>140000</v>
      </c>
      <c r="O275" s="6">
        <v>1050</v>
      </c>
      <c r="P275">
        <v>-136</v>
      </c>
      <c r="Q275" t="s">
        <v>28</v>
      </c>
    </row>
    <row r="276" spans="1:17" ht="13.95" customHeight="1" outlineLevel="3" x14ac:dyDescent="0.25">
      <c r="A276" t="s">
        <v>1</v>
      </c>
      <c r="B276" s="2">
        <v>41364</v>
      </c>
      <c r="C276" s="2">
        <v>41364</v>
      </c>
      <c r="D276" s="2">
        <v>41409</v>
      </c>
      <c r="E276" s="2"/>
      <c r="F276" t="s">
        <v>2</v>
      </c>
      <c r="G276" s="3">
        <v>45</v>
      </c>
      <c r="H276" s="4">
        <v>45404.65</v>
      </c>
      <c r="I276" t="s">
        <v>3</v>
      </c>
      <c r="J276" s="6">
        <v>1400000021</v>
      </c>
      <c r="K276" t="s">
        <v>0</v>
      </c>
      <c r="L276" s="3">
        <v>2676</v>
      </c>
      <c r="M276" s="3">
        <v>2645</v>
      </c>
      <c r="N276" s="6">
        <v>140000</v>
      </c>
      <c r="O276" s="6">
        <v>1050</v>
      </c>
      <c r="P276">
        <v>-136</v>
      </c>
      <c r="Q276" t="s">
        <v>28</v>
      </c>
    </row>
    <row r="277" spans="1:17" ht="13.95" customHeight="1" outlineLevel="3" x14ac:dyDescent="0.25">
      <c r="A277" t="s">
        <v>1</v>
      </c>
      <c r="B277" s="2">
        <v>41333</v>
      </c>
      <c r="C277" s="2">
        <v>41333</v>
      </c>
      <c r="D277" s="2">
        <v>41378</v>
      </c>
      <c r="E277" s="2"/>
      <c r="F277" t="s">
        <v>2</v>
      </c>
      <c r="G277" s="3">
        <v>45</v>
      </c>
      <c r="H277" s="4">
        <v>39277.1</v>
      </c>
      <c r="I277" t="s">
        <v>3</v>
      </c>
      <c r="J277" s="6">
        <v>1400000017</v>
      </c>
      <c r="K277" t="s">
        <v>0</v>
      </c>
      <c r="L277" s="3">
        <v>2707</v>
      </c>
      <c r="M277" s="3">
        <v>2676</v>
      </c>
      <c r="N277" s="6">
        <v>140000</v>
      </c>
      <c r="O277" s="6">
        <v>1050</v>
      </c>
      <c r="P277">
        <v>-105</v>
      </c>
      <c r="Q277" t="s">
        <v>28</v>
      </c>
    </row>
    <row r="278" spans="1:17" ht="13.95" customHeight="1" outlineLevel="3" x14ac:dyDescent="0.25">
      <c r="A278" t="s">
        <v>1</v>
      </c>
      <c r="B278" s="2">
        <v>41333</v>
      </c>
      <c r="C278" s="2">
        <v>41333</v>
      </c>
      <c r="D278" s="2">
        <v>41378</v>
      </c>
      <c r="E278" s="2"/>
      <c r="F278" t="s">
        <v>2</v>
      </c>
      <c r="G278" s="3">
        <v>45</v>
      </c>
      <c r="H278" s="4">
        <v>30575.279999999999</v>
      </c>
      <c r="I278" t="s">
        <v>3</v>
      </c>
      <c r="J278" s="6">
        <v>1400000016</v>
      </c>
      <c r="K278" t="s">
        <v>0</v>
      </c>
      <c r="L278" s="3">
        <v>2707</v>
      </c>
      <c r="M278" s="3">
        <v>2676</v>
      </c>
      <c r="N278" s="6">
        <v>140000</v>
      </c>
      <c r="O278" s="6">
        <v>1050</v>
      </c>
      <c r="P278">
        <v>-105</v>
      </c>
      <c r="Q278" t="s">
        <v>28</v>
      </c>
    </row>
    <row r="279" spans="1:17" ht="13.95" customHeight="1" outlineLevel="3" x14ac:dyDescent="0.25">
      <c r="A279" t="s">
        <v>1</v>
      </c>
      <c r="B279" s="2">
        <v>41333</v>
      </c>
      <c r="C279" s="2">
        <v>41333</v>
      </c>
      <c r="D279" s="2">
        <v>41378</v>
      </c>
      <c r="E279" s="2"/>
      <c r="F279" t="s">
        <v>2</v>
      </c>
      <c r="G279" s="3">
        <v>45</v>
      </c>
      <c r="H279" s="4">
        <v>41911.980000000003</v>
      </c>
      <c r="I279" t="s">
        <v>3</v>
      </c>
      <c r="J279" s="6">
        <v>1400000015</v>
      </c>
      <c r="K279" t="s">
        <v>0</v>
      </c>
      <c r="L279" s="3">
        <v>2707</v>
      </c>
      <c r="M279" s="3">
        <v>2676</v>
      </c>
      <c r="N279" s="6">
        <v>140000</v>
      </c>
      <c r="O279" s="6">
        <v>1050</v>
      </c>
      <c r="P279">
        <v>-105</v>
      </c>
      <c r="Q279" t="s">
        <v>28</v>
      </c>
    </row>
    <row r="280" spans="1:17" ht="13.95" customHeight="1" outlineLevel="3" x14ac:dyDescent="0.25">
      <c r="A280" t="s">
        <v>1</v>
      </c>
      <c r="B280" s="2">
        <v>41333</v>
      </c>
      <c r="C280" s="2">
        <v>41333</v>
      </c>
      <c r="D280" s="2">
        <v>41378</v>
      </c>
      <c r="E280" s="2"/>
      <c r="F280" t="s">
        <v>2</v>
      </c>
      <c r="G280" s="3">
        <v>45</v>
      </c>
      <c r="H280" s="4">
        <v>35349.39</v>
      </c>
      <c r="I280" t="s">
        <v>3</v>
      </c>
      <c r="J280" s="6">
        <v>1400000014</v>
      </c>
      <c r="K280" t="s">
        <v>0</v>
      </c>
      <c r="L280" s="3">
        <v>2707</v>
      </c>
      <c r="M280" s="3">
        <v>2676</v>
      </c>
      <c r="N280" s="6">
        <v>140000</v>
      </c>
      <c r="O280" s="6">
        <v>1050</v>
      </c>
      <c r="P280">
        <v>-105</v>
      </c>
      <c r="Q280" t="s">
        <v>28</v>
      </c>
    </row>
    <row r="281" spans="1:17" ht="13.95" customHeight="1" outlineLevel="3" x14ac:dyDescent="0.25">
      <c r="A281" t="s">
        <v>1</v>
      </c>
      <c r="B281" s="2">
        <v>41333</v>
      </c>
      <c r="C281" s="2">
        <v>41333</v>
      </c>
      <c r="D281" s="2">
        <v>41378</v>
      </c>
      <c r="E281" s="2"/>
      <c r="F281" t="s">
        <v>2</v>
      </c>
      <c r="G281" s="3">
        <v>45</v>
      </c>
      <c r="H281" s="4">
        <v>22931.46</v>
      </c>
      <c r="I281" t="s">
        <v>3</v>
      </c>
      <c r="J281" s="6">
        <v>1400000013</v>
      </c>
      <c r="K281" t="s">
        <v>0</v>
      </c>
      <c r="L281" s="3">
        <v>2707</v>
      </c>
      <c r="M281" s="3">
        <v>2676</v>
      </c>
      <c r="N281" s="6">
        <v>140000</v>
      </c>
      <c r="O281" s="6">
        <v>1050</v>
      </c>
      <c r="P281">
        <v>-105</v>
      </c>
      <c r="Q281" t="s">
        <v>28</v>
      </c>
    </row>
    <row r="282" spans="1:17" ht="13.95" customHeight="1" outlineLevel="3" x14ac:dyDescent="0.25">
      <c r="A282" t="s">
        <v>1</v>
      </c>
      <c r="B282" s="2">
        <v>41333</v>
      </c>
      <c r="C282" s="2">
        <v>41333</v>
      </c>
      <c r="D282" s="2">
        <v>41378</v>
      </c>
      <c r="E282" s="2"/>
      <c r="F282" t="s">
        <v>2</v>
      </c>
      <c r="G282" s="3">
        <v>45</v>
      </c>
      <c r="H282" s="4">
        <v>48897.31</v>
      </c>
      <c r="I282" t="s">
        <v>3</v>
      </c>
      <c r="J282" s="6">
        <v>1400000012</v>
      </c>
      <c r="K282" t="s">
        <v>0</v>
      </c>
      <c r="L282" s="3">
        <v>2707</v>
      </c>
      <c r="M282" s="3">
        <v>2676</v>
      </c>
      <c r="N282" s="6">
        <v>140000</v>
      </c>
      <c r="O282" s="6">
        <v>1050</v>
      </c>
      <c r="P282">
        <v>1031</v>
      </c>
      <c r="Q282" t="s">
        <v>32</v>
      </c>
    </row>
    <row r="283" spans="1:17" ht="13.95" customHeight="1" outlineLevel="3" x14ac:dyDescent="0.25">
      <c r="A283" t="s">
        <v>1</v>
      </c>
      <c r="B283" s="2">
        <v>41305</v>
      </c>
      <c r="C283" s="2">
        <v>41305</v>
      </c>
      <c r="D283" s="2">
        <v>41350</v>
      </c>
      <c r="E283" s="2"/>
      <c r="F283" t="s">
        <v>2</v>
      </c>
      <c r="G283" s="3">
        <v>45</v>
      </c>
      <c r="H283" s="4">
        <v>35349.39</v>
      </c>
      <c r="I283" t="s">
        <v>3</v>
      </c>
      <c r="J283" s="6">
        <v>1400000008</v>
      </c>
      <c r="K283" t="s">
        <v>0</v>
      </c>
      <c r="L283" s="3">
        <v>2735</v>
      </c>
      <c r="M283" s="3">
        <v>2704</v>
      </c>
      <c r="N283" s="6">
        <v>140000</v>
      </c>
      <c r="O283" s="6">
        <v>1050</v>
      </c>
      <c r="P283">
        <v>-76</v>
      </c>
      <c r="Q283" t="s">
        <v>28</v>
      </c>
    </row>
    <row r="284" spans="1:17" ht="13.95" customHeight="1" outlineLevel="3" x14ac:dyDescent="0.25">
      <c r="A284" t="s">
        <v>1</v>
      </c>
      <c r="B284" s="2">
        <v>41305</v>
      </c>
      <c r="C284" s="2">
        <v>41305</v>
      </c>
      <c r="D284" s="2">
        <v>41350</v>
      </c>
      <c r="E284" s="2"/>
      <c r="F284" t="s">
        <v>2</v>
      </c>
      <c r="G284" s="3">
        <v>45</v>
      </c>
      <c r="H284" s="4">
        <v>26753.37</v>
      </c>
      <c r="I284" t="s">
        <v>3</v>
      </c>
      <c r="J284" s="6">
        <v>1400000007</v>
      </c>
      <c r="K284" t="s">
        <v>0</v>
      </c>
      <c r="L284" s="3">
        <v>2735</v>
      </c>
      <c r="M284" s="3">
        <v>2704</v>
      </c>
      <c r="N284" s="6">
        <v>140000</v>
      </c>
      <c r="O284" s="6">
        <v>1050</v>
      </c>
      <c r="P284">
        <v>-76</v>
      </c>
      <c r="Q284" t="s">
        <v>28</v>
      </c>
    </row>
    <row r="285" spans="1:17" ht="13.95" customHeight="1" outlineLevel="3" x14ac:dyDescent="0.25">
      <c r="A285" t="s">
        <v>1</v>
      </c>
      <c r="B285" s="2">
        <v>41305</v>
      </c>
      <c r="C285" s="2">
        <v>41305</v>
      </c>
      <c r="D285" s="2">
        <v>41350</v>
      </c>
      <c r="E285" s="2"/>
      <c r="F285" t="s">
        <v>2</v>
      </c>
      <c r="G285" s="3">
        <v>45</v>
      </c>
      <c r="H285" s="4">
        <v>38419.32</v>
      </c>
      <c r="I285" t="s">
        <v>3</v>
      </c>
      <c r="J285" s="6">
        <v>1400000006</v>
      </c>
      <c r="K285" t="s">
        <v>0</v>
      </c>
      <c r="L285" s="3">
        <v>2735</v>
      </c>
      <c r="M285" s="3">
        <v>2704</v>
      </c>
      <c r="N285" s="6">
        <v>140000</v>
      </c>
      <c r="O285" s="6">
        <v>1050</v>
      </c>
      <c r="P285">
        <v>-76</v>
      </c>
      <c r="Q285" t="s">
        <v>28</v>
      </c>
    </row>
    <row r="286" spans="1:17" ht="13.95" customHeight="1" outlineLevel="3" x14ac:dyDescent="0.25">
      <c r="A286" t="s">
        <v>1</v>
      </c>
      <c r="B286" s="2">
        <v>41305</v>
      </c>
      <c r="C286" s="2">
        <v>41305</v>
      </c>
      <c r="D286" s="2">
        <v>41350</v>
      </c>
      <c r="E286" s="2"/>
      <c r="F286" t="s">
        <v>2</v>
      </c>
      <c r="G286" s="3">
        <v>45</v>
      </c>
      <c r="H286" s="4">
        <v>39277.1</v>
      </c>
      <c r="I286" t="s">
        <v>3</v>
      </c>
      <c r="J286" s="6">
        <v>1400000005</v>
      </c>
      <c r="K286" t="s">
        <v>0</v>
      </c>
      <c r="L286" s="3">
        <v>2735</v>
      </c>
      <c r="M286" s="3">
        <v>2704</v>
      </c>
      <c r="N286" s="6">
        <v>140000</v>
      </c>
      <c r="O286" s="6">
        <v>1050</v>
      </c>
      <c r="P286">
        <v>-76</v>
      </c>
      <c r="Q286" t="s">
        <v>28</v>
      </c>
    </row>
    <row r="287" spans="1:17" ht="13.95" customHeight="1" outlineLevel="3" x14ac:dyDescent="0.25">
      <c r="A287" t="s">
        <v>1</v>
      </c>
      <c r="B287" s="2">
        <v>41305</v>
      </c>
      <c r="C287" s="2">
        <v>41305</v>
      </c>
      <c r="D287" s="2">
        <v>41350</v>
      </c>
      <c r="E287" s="2"/>
      <c r="F287" t="s">
        <v>2</v>
      </c>
      <c r="G287" s="3">
        <v>45</v>
      </c>
      <c r="H287" s="4">
        <v>22931.46</v>
      </c>
      <c r="I287" t="s">
        <v>3</v>
      </c>
      <c r="J287" s="6">
        <v>1400000004</v>
      </c>
      <c r="K287" t="s">
        <v>0</v>
      </c>
      <c r="L287" s="3">
        <v>2735</v>
      </c>
      <c r="M287" s="3">
        <v>2704</v>
      </c>
      <c r="N287" s="6">
        <v>140000</v>
      </c>
      <c r="O287" s="6">
        <v>1050</v>
      </c>
      <c r="P287">
        <v>-76</v>
      </c>
      <c r="Q287" t="s">
        <v>28</v>
      </c>
    </row>
    <row r="288" spans="1:17" ht="13.95" customHeight="1" outlineLevel="3" x14ac:dyDescent="0.25">
      <c r="A288" t="s">
        <v>1</v>
      </c>
      <c r="B288" s="2">
        <v>41394</v>
      </c>
      <c r="C288" s="2">
        <v>41394</v>
      </c>
      <c r="D288" s="2">
        <v>41439</v>
      </c>
      <c r="E288" s="2"/>
      <c r="F288" t="s">
        <v>2</v>
      </c>
      <c r="G288" s="3">
        <v>45</v>
      </c>
      <c r="H288" s="4">
        <v>23566.26</v>
      </c>
      <c r="I288" t="s">
        <v>3</v>
      </c>
      <c r="J288" s="6">
        <v>1400000035</v>
      </c>
      <c r="K288" t="s">
        <v>0</v>
      </c>
      <c r="L288" s="3">
        <v>2646</v>
      </c>
      <c r="M288" s="3">
        <v>2615</v>
      </c>
      <c r="N288" s="6">
        <v>140000</v>
      </c>
      <c r="O288" s="6">
        <v>1050</v>
      </c>
      <c r="P288">
        <v>-166</v>
      </c>
      <c r="Q288" t="s">
        <v>28</v>
      </c>
    </row>
    <row r="289" spans="1:17" ht="13.95" customHeight="1" outlineLevel="3" x14ac:dyDescent="0.25">
      <c r="A289" t="s">
        <v>1</v>
      </c>
      <c r="B289" s="2">
        <v>42490</v>
      </c>
      <c r="C289" s="2">
        <v>42490</v>
      </c>
      <c r="D289" s="2">
        <v>42535</v>
      </c>
      <c r="E289" s="2"/>
      <c r="F289" t="s">
        <v>2</v>
      </c>
      <c r="G289" s="3">
        <v>45</v>
      </c>
      <c r="H289" s="4">
        <v>500</v>
      </c>
      <c r="I289" t="s">
        <v>3</v>
      </c>
      <c r="J289" s="6">
        <v>1400000006</v>
      </c>
      <c r="K289" t="s">
        <v>0</v>
      </c>
      <c r="L289" s="3">
        <v>1550</v>
      </c>
      <c r="M289" s="3">
        <v>1519</v>
      </c>
      <c r="N289" s="6">
        <v>140000</v>
      </c>
      <c r="O289" s="6">
        <v>1050</v>
      </c>
      <c r="P289">
        <v>-76</v>
      </c>
      <c r="Q289" t="s">
        <v>28</v>
      </c>
    </row>
    <row r="290" spans="1:17" ht="13.95" customHeight="1" outlineLevel="3" x14ac:dyDescent="0.25">
      <c r="A290" t="s">
        <v>1</v>
      </c>
      <c r="B290" s="2">
        <v>42490</v>
      </c>
      <c r="C290" s="2">
        <v>42490</v>
      </c>
      <c r="D290" s="2">
        <v>42535</v>
      </c>
      <c r="E290" s="2"/>
      <c r="F290" t="s">
        <v>2</v>
      </c>
      <c r="G290" s="3">
        <v>45</v>
      </c>
      <c r="H290" s="4">
        <v>1000</v>
      </c>
      <c r="I290" t="s">
        <v>3</v>
      </c>
      <c r="J290" s="6">
        <v>1400000005</v>
      </c>
      <c r="K290" t="s">
        <v>0</v>
      </c>
      <c r="L290" s="3">
        <v>1550</v>
      </c>
      <c r="M290" s="3">
        <v>1519</v>
      </c>
      <c r="N290" s="6">
        <v>140000</v>
      </c>
      <c r="O290" s="6">
        <v>1050</v>
      </c>
      <c r="P290">
        <v>-76</v>
      </c>
      <c r="Q290" t="s">
        <v>28</v>
      </c>
    </row>
    <row r="291" spans="1:17" ht="13.95" customHeight="1" outlineLevel="3" x14ac:dyDescent="0.25">
      <c r="A291" t="s">
        <v>1</v>
      </c>
      <c r="B291" s="2">
        <v>42247</v>
      </c>
      <c r="C291" s="2">
        <v>42247</v>
      </c>
      <c r="D291" s="2">
        <v>42292</v>
      </c>
      <c r="E291" s="2"/>
      <c r="F291" t="s">
        <v>2</v>
      </c>
      <c r="G291" s="3">
        <v>45</v>
      </c>
      <c r="H291" s="4">
        <v>500</v>
      </c>
      <c r="I291" t="s">
        <v>3</v>
      </c>
      <c r="J291" s="6">
        <v>1400000058</v>
      </c>
      <c r="K291" t="s">
        <v>0</v>
      </c>
      <c r="L291" s="3">
        <v>1793</v>
      </c>
      <c r="M291" s="3">
        <v>1762</v>
      </c>
      <c r="N291" s="6">
        <v>140000</v>
      </c>
      <c r="O291" s="6">
        <v>1050</v>
      </c>
      <c r="P291">
        <v>134</v>
      </c>
      <c r="Q291" t="s">
        <v>30</v>
      </c>
    </row>
    <row r="292" spans="1:17" ht="13.95" customHeight="1" outlineLevel="3" x14ac:dyDescent="0.25">
      <c r="A292" t="s">
        <v>1</v>
      </c>
      <c r="B292" s="2">
        <v>42247</v>
      </c>
      <c r="C292" s="2">
        <v>42247</v>
      </c>
      <c r="D292" s="2">
        <v>42292</v>
      </c>
      <c r="E292" s="2"/>
      <c r="F292" t="s">
        <v>2</v>
      </c>
      <c r="G292" s="3">
        <v>45</v>
      </c>
      <c r="H292" s="4">
        <v>500</v>
      </c>
      <c r="I292" t="s">
        <v>3</v>
      </c>
      <c r="J292" s="6">
        <v>1400000057</v>
      </c>
      <c r="K292" t="s">
        <v>0</v>
      </c>
      <c r="L292" s="3">
        <v>1793</v>
      </c>
      <c r="M292" s="3">
        <v>1762</v>
      </c>
      <c r="N292" s="6">
        <v>140000</v>
      </c>
      <c r="O292" s="6">
        <v>1050</v>
      </c>
      <c r="P292">
        <v>134</v>
      </c>
      <c r="Q292" t="s">
        <v>30</v>
      </c>
    </row>
    <row r="293" spans="1:17" ht="13.95" customHeight="1" outlineLevel="3" x14ac:dyDescent="0.25">
      <c r="A293" t="s">
        <v>1</v>
      </c>
      <c r="B293" s="2">
        <v>42237</v>
      </c>
      <c r="C293" s="2">
        <v>42237</v>
      </c>
      <c r="D293" s="2">
        <v>42237</v>
      </c>
      <c r="E293" s="2"/>
      <c r="F293" t="s">
        <v>2</v>
      </c>
      <c r="G293" s="3">
        <v>0</v>
      </c>
      <c r="H293" s="4">
        <v>1000</v>
      </c>
      <c r="I293" t="s">
        <v>3</v>
      </c>
      <c r="J293" s="6">
        <v>1400000051</v>
      </c>
      <c r="K293" t="s">
        <v>0</v>
      </c>
      <c r="L293" s="3">
        <v>1817</v>
      </c>
      <c r="M293" s="3">
        <v>1817</v>
      </c>
      <c r="N293" s="6">
        <v>140000</v>
      </c>
      <c r="O293" s="6">
        <v>1050</v>
      </c>
      <c r="P293">
        <v>-2380</v>
      </c>
      <c r="Q293" t="s">
        <v>28</v>
      </c>
    </row>
    <row r="294" spans="1:17" ht="13.95" customHeight="1" outlineLevel="3" x14ac:dyDescent="0.25">
      <c r="A294" t="s">
        <v>1</v>
      </c>
      <c r="B294" s="2">
        <v>41669</v>
      </c>
      <c r="C294" s="2">
        <v>41669</v>
      </c>
      <c r="D294" s="2">
        <v>41714</v>
      </c>
      <c r="E294" s="2"/>
      <c r="F294" t="s">
        <v>2</v>
      </c>
      <c r="G294" s="3">
        <v>45</v>
      </c>
      <c r="H294" s="4">
        <v>110</v>
      </c>
      <c r="I294" t="s">
        <v>3</v>
      </c>
      <c r="J294" s="6">
        <v>1400000000</v>
      </c>
      <c r="K294" t="s">
        <v>0</v>
      </c>
      <c r="L294" s="3">
        <v>2371</v>
      </c>
      <c r="M294" s="3">
        <v>2340</v>
      </c>
      <c r="N294" s="6">
        <v>140000</v>
      </c>
      <c r="O294" s="6">
        <v>1050</v>
      </c>
      <c r="P294">
        <v>-76</v>
      </c>
      <c r="Q294" t="s">
        <v>28</v>
      </c>
    </row>
    <row r="295" spans="1:17" ht="13.95" customHeight="1" outlineLevel="3" x14ac:dyDescent="0.25">
      <c r="A295" t="s">
        <v>1</v>
      </c>
      <c r="B295" s="2">
        <v>41547</v>
      </c>
      <c r="C295" s="2">
        <v>41547</v>
      </c>
      <c r="D295" s="2">
        <v>41592</v>
      </c>
      <c r="E295" s="2"/>
      <c r="F295" t="s">
        <v>2</v>
      </c>
      <c r="G295" s="3">
        <v>45</v>
      </c>
      <c r="H295" s="4">
        <v>575</v>
      </c>
      <c r="I295" t="s">
        <v>3</v>
      </c>
      <c r="J295" s="6">
        <v>1400000064</v>
      </c>
      <c r="K295" t="s">
        <v>0</v>
      </c>
      <c r="L295" s="3">
        <v>2493</v>
      </c>
      <c r="M295" s="3">
        <v>2462</v>
      </c>
      <c r="N295" s="6">
        <v>140000</v>
      </c>
      <c r="O295" s="6">
        <v>1050</v>
      </c>
      <c r="P295">
        <v>108</v>
      </c>
      <c r="Q295" t="s">
        <v>30</v>
      </c>
    </row>
    <row r="296" spans="1:17" ht="13.95" customHeight="1" outlineLevel="3" x14ac:dyDescent="0.25">
      <c r="A296" t="s">
        <v>1</v>
      </c>
      <c r="B296" s="2">
        <v>41547</v>
      </c>
      <c r="C296" s="2">
        <v>41547</v>
      </c>
      <c r="D296" s="2">
        <v>41592</v>
      </c>
      <c r="E296" s="2"/>
      <c r="F296" t="s">
        <v>2</v>
      </c>
      <c r="G296" s="3">
        <v>45</v>
      </c>
      <c r="H296" s="4">
        <v>575</v>
      </c>
      <c r="I296" t="s">
        <v>3</v>
      </c>
      <c r="J296" s="6">
        <v>1400000063</v>
      </c>
      <c r="K296" t="s">
        <v>0</v>
      </c>
      <c r="L296" s="3">
        <v>2493</v>
      </c>
      <c r="M296" s="3">
        <v>2462</v>
      </c>
      <c r="N296" s="6">
        <v>140000</v>
      </c>
      <c r="O296" s="6">
        <v>1050</v>
      </c>
      <c r="P296">
        <v>108</v>
      </c>
      <c r="Q296" t="s">
        <v>30</v>
      </c>
    </row>
    <row r="297" spans="1:17" ht="13.95" customHeight="1" outlineLevel="3" x14ac:dyDescent="0.25">
      <c r="A297" t="s">
        <v>1</v>
      </c>
      <c r="B297" s="2">
        <v>41547</v>
      </c>
      <c r="C297" s="2">
        <v>41547</v>
      </c>
      <c r="D297" s="2">
        <v>41592</v>
      </c>
      <c r="E297" s="2"/>
      <c r="F297" t="s">
        <v>2</v>
      </c>
      <c r="G297" s="3">
        <v>45</v>
      </c>
      <c r="H297" s="4">
        <v>5922.5</v>
      </c>
      <c r="I297" t="s">
        <v>3</v>
      </c>
      <c r="J297" s="6">
        <v>1400000062</v>
      </c>
      <c r="K297" t="s">
        <v>0</v>
      </c>
      <c r="L297" s="3">
        <v>2493</v>
      </c>
      <c r="M297" s="3">
        <v>2462</v>
      </c>
      <c r="N297" s="6">
        <v>140000</v>
      </c>
      <c r="O297" s="6">
        <v>1050</v>
      </c>
      <c r="P297">
        <v>108</v>
      </c>
      <c r="Q297" t="s">
        <v>30</v>
      </c>
    </row>
    <row r="298" spans="1:17" ht="13.95" customHeight="1" outlineLevel="3" x14ac:dyDescent="0.25">
      <c r="A298" t="s">
        <v>1</v>
      </c>
      <c r="B298" s="2">
        <v>41547</v>
      </c>
      <c r="C298" s="2">
        <v>41547</v>
      </c>
      <c r="D298" s="2">
        <v>41592</v>
      </c>
      <c r="E298" s="2"/>
      <c r="F298" t="s">
        <v>2</v>
      </c>
      <c r="G298" s="3">
        <v>45</v>
      </c>
      <c r="H298" s="4">
        <v>2875</v>
      </c>
      <c r="I298" t="s">
        <v>3</v>
      </c>
      <c r="J298" s="6">
        <v>1400000061</v>
      </c>
      <c r="K298" t="s">
        <v>0</v>
      </c>
      <c r="L298" s="3">
        <v>2493</v>
      </c>
      <c r="M298" s="3">
        <v>2462</v>
      </c>
      <c r="N298" s="6">
        <v>140000</v>
      </c>
      <c r="O298" s="6">
        <v>1050</v>
      </c>
      <c r="P298">
        <v>108</v>
      </c>
      <c r="Q298" t="s">
        <v>30</v>
      </c>
    </row>
    <row r="299" spans="1:17" ht="13.95" customHeight="1" outlineLevel="3" x14ac:dyDescent="0.25">
      <c r="A299" t="s">
        <v>1</v>
      </c>
      <c r="B299" s="2">
        <v>41455</v>
      </c>
      <c r="C299" s="2">
        <v>41455</v>
      </c>
      <c r="D299" s="2">
        <v>41500</v>
      </c>
      <c r="E299" s="2"/>
      <c r="F299" t="s">
        <v>2</v>
      </c>
      <c r="G299" s="3">
        <v>45</v>
      </c>
      <c r="H299" s="4">
        <v>15710.84</v>
      </c>
      <c r="I299" t="s">
        <v>3</v>
      </c>
      <c r="J299" s="6">
        <v>1400000053</v>
      </c>
      <c r="K299" t="s">
        <v>0</v>
      </c>
      <c r="L299" s="3">
        <v>2585</v>
      </c>
      <c r="M299" s="3">
        <v>2554</v>
      </c>
      <c r="N299" s="6">
        <v>140000</v>
      </c>
      <c r="O299" s="6">
        <v>1050</v>
      </c>
      <c r="P299">
        <v>139</v>
      </c>
      <c r="Q299" t="s">
        <v>30</v>
      </c>
    </row>
    <row r="300" spans="1:17" ht="13.95" customHeight="1" outlineLevel="3" x14ac:dyDescent="0.25">
      <c r="A300" t="s">
        <v>1</v>
      </c>
      <c r="B300" s="2">
        <v>41455</v>
      </c>
      <c r="C300" s="2">
        <v>41455</v>
      </c>
      <c r="D300" s="2">
        <v>41500</v>
      </c>
      <c r="E300" s="2"/>
      <c r="F300" t="s">
        <v>2</v>
      </c>
      <c r="G300" s="3">
        <v>45</v>
      </c>
      <c r="H300" s="4">
        <v>57328.65</v>
      </c>
      <c r="I300" t="s">
        <v>3</v>
      </c>
      <c r="J300" s="6">
        <v>1400000052</v>
      </c>
      <c r="K300" t="s">
        <v>0</v>
      </c>
      <c r="L300" s="3">
        <v>2585</v>
      </c>
      <c r="M300" s="3">
        <v>2554</v>
      </c>
      <c r="N300" s="6">
        <v>140000</v>
      </c>
      <c r="O300" s="6">
        <v>1050</v>
      </c>
      <c r="P300">
        <v>139</v>
      </c>
      <c r="Q300" t="s">
        <v>30</v>
      </c>
    </row>
    <row r="301" spans="1:17" ht="13.95" customHeight="1" outlineLevel="3" x14ac:dyDescent="0.25">
      <c r="A301" t="s">
        <v>1</v>
      </c>
      <c r="B301" s="2">
        <v>41455</v>
      </c>
      <c r="C301" s="2">
        <v>41455</v>
      </c>
      <c r="D301" s="2">
        <v>41500</v>
      </c>
      <c r="E301" s="2"/>
      <c r="F301" t="s">
        <v>2</v>
      </c>
      <c r="G301" s="3">
        <v>45</v>
      </c>
      <c r="H301" s="4">
        <v>27941.32</v>
      </c>
      <c r="I301" t="s">
        <v>3</v>
      </c>
      <c r="J301" s="6">
        <v>1400000051</v>
      </c>
      <c r="K301" t="s">
        <v>0</v>
      </c>
      <c r="L301" s="3">
        <v>2585</v>
      </c>
      <c r="M301" s="3">
        <v>2554</v>
      </c>
      <c r="N301" s="6">
        <v>140000</v>
      </c>
      <c r="O301" s="6">
        <v>1050</v>
      </c>
      <c r="P301">
        <v>-2380</v>
      </c>
      <c r="Q301" t="s">
        <v>28</v>
      </c>
    </row>
    <row r="302" spans="1:17" ht="13.95" customHeight="1" outlineLevel="3" x14ac:dyDescent="0.25">
      <c r="A302" t="s">
        <v>1</v>
      </c>
      <c r="B302" s="2">
        <v>41455</v>
      </c>
      <c r="C302" s="2">
        <v>41455</v>
      </c>
      <c r="D302" s="2">
        <v>41500</v>
      </c>
      <c r="E302" s="2"/>
      <c r="F302" t="s">
        <v>2</v>
      </c>
      <c r="G302" s="3">
        <v>45</v>
      </c>
      <c r="H302" s="4">
        <v>23566.26</v>
      </c>
      <c r="I302" t="s">
        <v>3</v>
      </c>
      <c r="J302" s="6">
        <v>1400000050</v>
      </c>
      <c r="K302" t="s">
        <v>0</v>
      </c>
      <c r="L302" s="3">
        <v>2585</v>
      </c>
      <c r="M302" s="3">
        <v>2554</v>
      </c>
      <c r="N302" s="6">
        <v>140000</v>
      </c>
      <c r="O302" s="6">
        <v>1050</v>
      </c>
      <c r="P302">
        <v>966</v>
      </c>
      <c r="Q302" t="s">
        <v>32</v>
      </c>
    </row>
    <row r="303" spans="1:17" ht="13.95" customHeight="1" outlineLevel="3" x14ac:dyDescent="0.25">
      <c r="A303" t="s">
        <v>1</v>
      </c>
      <c r="B303" s="2">
        <v>41455</v>
      </c>
      <c r="C303" s="2">
        <v>41455</v>
      </c>
      <c r="D303" s="2">
        <v>41500</v>
      </c>
      <c r="E303" s="2"/>
      <c r="F303" t="s">
        <v>2</v>
      </c>
      <c r="G303" s="3">
        <v>45</v>
      </c>
      <c r="H303" s="4">
        <v>53506.74</v>
      </c>
      <c r="I303" t="s">
        <v>3</v>
      </c>
      <c r="J303" s="6">
        <v>1400000049</v>
      </c>
      <c r="K303" t="s">
        <v>0</v>
      </c>
      <c r="L303" s="3">
        <v>2585</v>
      </c>
      <c r="M303" s="3">
        <v>2554</v>
      </c>
      <c r="N303" s="6">
        <v>140000</v>
      </c>
      <c r="O303" s="6">
        <v>1050</v>
      </c>
      <c r="P303">
        <v>966</v>
      </c>
      <c r="Q303" t="s">
        <v>32</v>
      </c>
    </row>
    <row r="304" spans="1:17" ht="13.95" customHeight="1" outlineLevel="3" x14ac:dyDescent="0.25">
      <c r="A304" t="s">
        <v>1</v>
      </c>
      <c r="B304" s="2">
        <v>41455</v>
      </c>
      <c r="C304" s="2">
        <v>41455</v>
      </c>
      <c r="D304" s="2">
        <v>41500</v>
      </c>
      <c r="E304" s="2"/>
      <c r="F304" t="s">
        <v>2</v>
      </c>
      <c r="G304" s="3">
        <v>45</v>
      </c>
      <c r="H304" s="4">
        <v>27941.32</v>
      </c>
      <c r="I304" t="s">
        <v>3</v>
      </c>
      <c r="J304" s="6">
        <v>1400000048</v>
      </c>
      <c r="K304" t="s">
        <v>0</v>
      </c>
      <c r="L304" s="3">
        <v>2585</v>
      </c>
      <c r="M304" s="3">
        <v>2554</v>
      </c>
      <c r="N304" s="6">
        <v>140000</v>
      </c>
      <c r="O304" s="6">
        <v>1050</v>
      </c>
      <c r="P304">
        <v>161</v>
      </c>
      <c r="Q304" t="s">
        <v>30</v>
      </c>
    </row>
    <row r="305" spans="1:17" ht="13.95" customHeight="1" outlineLevel="3" x14ac:dyDescent="0.25">
      <c r="A305" t="s">
        <v>1</v>
      </c>
      <c r="B305" s="2">
        <v>41425</v>
      </c>
      <c r="C305" s="2">
        <v>41425</v>
      </c>
      <c r="D305" s="2">
        <v>41470</v>
      </c>
      <c r="E305" s="2"/>
      <c r="F305" t="s">
        <v>2</v>
      </c>
      <c r="G305" s="3">
        <v>45</v>
      </c>
      <c r="H305" s="4">
        <v>15710.84</v>
      </c>
      <c r="I305" t="s">
        <v>3</v>
      </c>
      <c r="J305" s="6">
        <v>1400000044</v>
      </c>
      <c r="K305" t="s">
        <v>0</v>
      </c>
      <c r="L305" s="3">
        <v>2615</v>
      </c>
      <c r="M305" s="3">
        <v>2584</v>
      </c>
      <c r="N305" s="6">
        <v>140000</v>
      </c>
      <c r="O305" s="6">
        <v>1050</v>
      </c>
      <c r="P305">
        <v>169</v>
      </c>
      <c r="Q305" t="s">
        <v>30</v>
      </c>
    </row>
    <row r="306" spans="1:17" ht="13.95" customHeight="1" outlineLevel="3" x14ac:dyDescent="0.25">
      <c r="A306" t="s">
        <v>1</v>
      </c>
      <c r="B306" s="2">
        <v>41425</v>
      </c>
      <c r="C306" s="2">
        <v>41425</v>
      </c>
      <c r="D306" s="2">
        <v>41470</v>
      </c>
      <c r="E306" s="2"/>
      <c r="F306" t="s">
        <v>2</v>
      </c>
      <c r="G306" s="3">
        <v>45</v>
      </c>
      <c r="H306" s="4">
        <v>45862.92</v>
      </c>
      <c r="I306" t="s">
        <v>3</v>
      </c>
      <c r="J306" s="6">
        <v>1400000043</v>
      </c>
      <c r="K306" t="s">
        <v>0</v>
      </c>
      <c r="L306" s="3">
        <v>2615</v>
      </c>
      <c r="M306" s="3">
        <v>2584</v>
      </c>
      <c r="N306" s="6">
        <v>140000</v>
      </c>
      <c r="O306" s="6">
        <v>1050</v>
      </c>
      <c r="P306">
        <v>169</v>
      </c>
      <c r="Q306" t="s">
        <v>30</v>
      </c>
    </row>
    <row r="307" spans="1:17" ht="13.95" customHeight="1" outlineLevel="3" x14ac:dyDescent="0.25">
      <c r="A307" t="s">
        <v>1</v>
      </c>
      <c r="B307" s="2">
        <v>41425</v>
      </c>
      <c r="C307" s="2">
        <v>41425</v>
      </c>
      <c r="D307" s="2">
        <v>41470</v>
      </c>
      <c r="E307" s="2"/>
      <c r="F307" t="s">
        <v>2</v>
      </c>
      <c r="G307" s="3">
        <v>45</v>
      </c>
      <c r="H307" s="4">
        <v>34926.65</v>
      </c>
      <c r="I307" t="s">
        <v>3</v>
      </c>
      <c r="J307" s="6">
        <v>1400000042</v>
      </c>
      <c r="K307" t="s">
        <v>0</v>
      </c>
      <c r="L307" s="3">
        <v>2615</v>
      </c>
      <c r="M307" s="3">
        <v>2584</v>
      </c>
      <c r="N307" s="6">
        <v>140000</v>
      </c>
      <c r="O307" s="6">
        <v>1050</v>
      </c>
      <c r="P307">
        <v>169</v>
      </c>
      <c r="Q307" t="s">
        <v>30</v>
      </c>
    </row>
    <row r="308" spans="1:17" ht="13.95" customHeight="1" outlineLevel="3" x14ac:dyDescent="0.25">
      <c r="A308" t="s">
        <v>1</v>
      </c>
      <c r="B308" s="2">
        <v>41425</v>
      </c>
      <c r="C308" s="2">
        <v>41425</v>
      </c>
      <c r="D308" s="2">
        <v>41470</v>
      </c>
      <c r="E308" s="2"/>
      <c r="F308" t="s">
        <v>2</v>
      </c>
      <c r="G308" s="3">
        <v>45</v>
      </c>
      <c r="H308" s="4">
        <v>19638.55</v>
      </c>
      <c r="I308" t="s">
        <v>3</v>
      </c>
      <c r="J308" s="6">
        <v>1400000041</v>
      </c>
      <c r="K308" t="s">
        <v>0</v>
      </c>
      <c r="L308" s="3">
        <v>2615</v>
      </c>
      <c r="M308" s="3">
        <v>2584</v>
      </c>
      <c r="N308" s="6">
        <v>140000</v>
      </c>
      <c r="O308" s="6">
        <v>1050</v>
      </c>
      <c r="P308">
        <v>-197</v>
      </c>
      <c r="Q308" t="s">
        <v>28</v>
      </c>
    </row>
    <row r="309" spans="1:17" ht="13.95" customHeight="1" outlineLevel="3" x14ac:dyDescent="0.25">
      <c r="A309" t="s">
        <v>1</v>
      </c>
      <c r="B309" s="2">
        <v>41425</v>
      </c>
      <c r="C309" s="2">
        <v>41425</v>
      </c>
      <c r="D309" s="2">
        <v>41470</v>
      </c>
      <c r="E309" s="2"/>
      <c r="F309" t="s">
        <v>2</v>
      </c>
      <c r="G309" s="3">
        <v>45</v>
      </c>
      <c r="H309" s="4">
        <v>49684.83</v>
      </c>
      <c r="I309" t="s">
        <v>3</v>
      </c>
      <c r="J309" s="6">
        <v>1400000040</v>
      </c>
      <c r="K309" t="s">
        <v>0</v>
      </c>
      <c r="L309" s="3">
        <v>2615</v>
      </c>
      <c r="M309" s="3">
        <v>2584</v>
      </c>
      <c r="N309" s="6">
        <v>140000</v>
      </c>
      <c r="O309" s="6">
        <v>1050</v>
      </c>
      <c r="P309">
        <v>-197</v>
      </c>
      <c r="Q309" t="s">
        <v>28</v>
      </c>
    </row>
    <row r="310" spans="1:17" ht="13.95" customHeight="1" outlineLevel="3" x14ac:dyDescent="0.25">
      <c r="A310" t="s">
        <v>1</v>
      </c>
      <c r="B310" s="2">
        <v>41425</v>
      </c>
      <c r="C310" s="2">
        <v>41425</v>
      </c>
      <c r="D310" s="2">
        <v>41470</v>
      </c>
      <c r="E310" s="2"/>
      <c r="F310" t="s">
        <v>2</v>
      </c>
      <c r="G310" s="3">
        <v>45</v>
      </c>
      <c r="H310" s="4">
        <v>31433.99</v>
      </c>
      <c r="I310" t="s">
        <v>3</v>
      </c>
      <c r="J310" s="6">
        <v>1400000039</v>
      </c>
      <c r="K310" t="s">
        <v>0</v>
      </c>
      <c r="L310" s="3">
        <v>2615</v>
      </c>
      <c r="M310" s="3">
        <v>2584</v>
      </c>
      <c r="N310" s="6">
        <v>140000</v>
      </c>
      <c r="O310" s="6">
        <v>1050</v>
      </c>
      <c r="P310">
        <v>189</v>
      </c>
      <c r="Q310" t="s">
        <v>31</v>
      </c>
    </row>
    <row r="311" spans="1:17" ht="13.95" customHeight="1" outlineLevel="3" x14ac:dyDescent="0.25">
      <c r="A311" t="s">
        <v>1</v>
      </c>
      <c r="B311" s="2">
        <v>41157</v>
      </c>
      <c r="C311" s="2">
        <v>41157</v>
      </c>
      <c r="D311" s="2">
        <v>41202</v>
      </c>
      <c r="E311" s="2"/>
      <c r="F311" t="s">
        <v>2</v>
      </c>
      <c r="G311" s="3">
        <v>45</v>
      </c>
      <c r="H311" s="4">
        <v>45862.92</v>
      </c>
      <c r="I311" t="s">
        <v>3</v>
      </c>
      <c r="J311" s="6">
        <v>1400000091</v>
      </c>
      <c r="K311" t="s">
        <v>0</v>
      </c>
      <c r="L311" s="3">
        <v>2883</v>
      </c>
      <c r="M311" s="3">
        <v>2852</v>
      </c>
      <c r="N311" s="6">
        <v>140000</v>
      </c>
      <c r="O311" s="6">
        <v>1050</v>
      </c>
      <c r="P311">
        <v>16</v>
      </c>
      <c r="Q311" t="s">
        <v>29</v>
      </c>
    </row>
    <row r="312" spans="1:17" ht="13.95" customHeight="1" outlineLevel="3" x14ac:dyDescent="0.25">
      <c r="A312" t="s">
        <v>1</v>
      </c>
      <c r="B312" s="2">
        <v>41157</v>
      </c>
      <c r="C312" s="2">
        <v>41157</v>
      </c>
      <c r="D312" s="2">
        <v>41202</v>
      </c>
      <c r="E312" s="2"/>
      <c r="F312" t="s">
        <v>2</v>
      </c>
      <c r="G312" s="3">
        <v>45</v>
      </c>
      <c r="H312" s="4">
        <v>17463.330000000002</v>
      </c>
      <c r="I312" t="s">
        <v>3</v>
      </c>
      <c r="J312" s="6">
        <v>1400000090</v>
      </c>
      <c r="K312" t="s">
        <v>0</v>
      </c>
      <c r="L312" s="3">
        <v>2883</v>
      </c>
      <c r="M312" s="3">
        <v>2852</v>
      </c>
      <c r="N312" s="6">
        <v>140000</v>
      </c>
      <c r="O312" s="6">
        <v>1050</v>
      </c>
      <c r="P312">
        <v>16</v>
      </c>
      <c r="Q312" t="s">
        <v>29</v>
      </c>
    </row>
    <row r="313" spans="1:17" ht="13.95" customHeight="1" outlineLevel="3" x14ac:dyDescent="0.25">
      <c r="A313" t="s">
        <v>1</v>
      </c>
      <c r="B313" s="2">
        <v>41149</v>
      </c>
      <c r="C313" s="2">
        <v>41149</v>
      </c>
      <c r="D313" s="2">
        <v>41194</v>
      </c>
      <c r="E313" s="2"/>
      <c r="F313" t="s">
        <v>2</v>
      </c>
      <c r="G313" s="3">
        <v>45</v>
      </c>
      <c r="H313" s="4">
        <v>35349.39</v>
      </c>
      <c r="I313" t="s">
        <v>3</v>
      </c>
      <c r="J313" s="6">
        <v>1400000086</v>
      </c>
      <c r="K313" t="s">
        <v>0</v>
      </c>
      <c r="L313" s="3">
        <v>2891</v>
      </c>
      <c r="M313" s="3">
        <v>2860</v>
      </c>
      <c r="N313" s="6">
        <v>140000</v>
      </c>
      <c r="O313" s="6">
        <v>1050</v>
      </c>
      <c r="P313">
        <v>925</v>
      </c>
      <c r="Q313" t="s">
        <v>32</v>
      </c>
    </row>
    <row r="314" spans="1:17" ht="13.95" customHeight="1" outlineLevel="3" x14ac:dyDescent="0.25">
      <c r="A314" t="s">
        <v>1</v>
      </c>
      <c r="B314" s="2">
        <v>41149</v>
      </c>
      <c r="C314" s="2">
        <v>41149</v>
      </c>
      <c r="D314" s="2">
        <v>41194</v>
      </c>
      <c r="E314" s="2"/>
      <c r="F314" t="s">
        <v>2</v>
      </c>
      <c r="G314" s="3">
        <v>45</v>
      </c>
      <c r="H314" s="4">
        <v>61150.559999999998</v>
      </c>
      <c r="I314" t="s">
        <v>3</v>
      </c>
      <c r="J314" s="6">
        <v>1400000085</v>
      </c>
      <c r="K314" t="s">
        <v>0</v>
      </c>
      <c r="L314" s="3">
        <v>2891</v>
      </c>
      <c r="M314" s="3">
        <v>2860</v>
      </c>
      <c r="N314" s="6">
        <v>140000</v>
      </c>
      <c r="O314" s="6">
        <v>1050</v>
      </c>
      <c r="P314">
        <v>44</v>
      </c>
      <c r="Q314" t="s">
        <v>29</v>
      </c>
    </row>
    <row r="315" spans="1:17" ht="13.95" customHeight="1" outlineLevel="3" x14ac:dyDescent="0.25">
      <c r="A315" t="s">
        <v>1</v>
      </c>
      <c r="B315" s="2">
        <v>41149</v>
      </c>
      <c r="C315" s="2">
        <v>41149</v>
      </c>
      <c r="D315" s="2">
        <v>41194</v>
      </c>
      <c r="E315" s="2"/>
      <c r="F315" t="s">
        <v>2</v>
      </c>
      <c r="G315" s="3">
        <v>45</v>
      </c>
      <c r="H315" s="4">
        <v>20955.990000000002</v>
      </c>
      <c r="I315" t="s">
        <v>3</v>
      </c>
      <c r="J315" s="6">
        <v>1400000084</v>
      </c>
      <c r="K315" t="s">
        <v>0</v>
      </c>
      <c r="L315" s="3">
        <v>2891</v>
      </c>
      <c r="M315" s="3">
        <v>2860</v>
      </c>
      <c r="N315" s="6">
        <v>140000</v>
      </c>
      <c r="O315" s="6">
        <v>1050</v>
      </c>
      <c r="P315">
        <v>44</v>
      </c>
      <c r="Q315" t="s">
        <v>29</v>
      </c>
    </row>
    <row r="316" spans="1:17" ht="13.95" customHeight="1" outlineLevel="3" x14ac:dyDescent="0.25">
      <c r="A316" t="s">
        <v>1</v>
      </c>
      <c r="B316" s="2">
        <v>41149</v>
      </c>
      <c r="C316" s="2">
        <v>41149</v>
      </c>
      <c r="D316" s="2">
        <v>41194</v>
      </c>
      <c r="E316" s="2"/>
      <c r="F316" t="s">
        <v>2</v>
      </c>
      <c r="G316" s="3">
        <v>45</v>
      </c>
      <c r="H316" s="4">
        <v>39277.1</v>
      </c>
      <c r="I316" t="s">
        <v>3</v>
      </c>
      <c r="J316" s="6">
        <v>1400000083</v>
      </c>
      <c r="K316" t="s">
        <v>0</v>
      </c>
      <c r="L316" s="3">
        <v>2891</v>
      </c>
      <c r="M316" s="3">
        <v>2860</v>
      </c>
      <c r="N316" s="6">
        <v>140000</v>
      </c>
      <c r="O316" s="6">
        <v>1050</v>
      </c>
      <c r="P316">
        <v>44</v>
      </c>
      <c r="Q316" t="s">
        <v>29</v>
      </c>
    </row>
    <row r="317" spans="1:17" ht="13.95" customHeight="1" outlineLevel="3" x14ac:dyDescent="0.25">
      <c r="A317" t="s">
        <v>1</v>
      </c>
      <c r="B317" s="2">
        <v>41149</v>
      </c>
      <c r="C317" s="2">
        <v>41149</v>
      </c>
      <c r="D317" s="2">
        <v>41194</v>
      </c>
      <c r="E317" s="2"/>
      <c r="F317" t="s">
        <v>2</v>
      </c>
      <c r="G317" s="3">
        <v>45</v>
      </c>
      <c r="H317" s="4">
        <v>49684.83</v>
      </c>
      <c r="I317" t="s">
        <v>3</v>
      </c>
      <c r="J317" s="6">
        <v>1400000082</v>
      </c>
      <c r="K317" t="s">
        <v>0</v>
      </c>
      <c r="L317" s="3">
        <v>2891</v>
      </c>
      <c r="M317" s="3">
        <v>2860</v>
      </c>
      <c r="N317" s="6">
        <v>140000</v>
      </c>
      <c r="O317" s="6">
        <v>1050</v>
      </c>
      <c r="P317">
        <v>47</v>
      </c>
      <c r="Q317" t="s">
        <v>29</v>
      </c>
    </row>
    <row r="318" spans="1:17" ht="13.95" customHeight="1" outlineLevel="3" x14ac:dyDescent="0.25">
      <c r="A318" t="s">
        <v>1</v>
      </c>
      <c r="B318" s="2">
        <v>41149</v>
      </c>
      <c r="C318" s="2">
        <v>41149</v>
      </c>
      <c r="D318" s="2">
        <v>41194</v>
      </c>
      <c r="E318" s="2"/>
      <c r="F318" t="s">
        <v>2</v>
      </c>
      <c r="G318" s="3">
        <v>45</v>
      </c>
      <c r="H318" s="4">
        <v>13970.66</v>
      </c>
      <c r="I318" t="s">
        <v>3</v>
      </c>
      <c r="J318" s="6">
        <v>1400000081</v>
      </c>
      <c r="K318" t="s">
        <v>0</v>
      </c>
      <c r="L318" s="3">
        <v>2891</v>
      </c>
      <c r="M318" s="3">
        <v>2860</v>
      </c>
      <c r="N318" s="6">
        <v>140000</v>
      </c>
      <c r="O318" s="6">
        <v>1050</v>
      </c>
      <c r="P318">
        <v>47</v>
      </c>
      <c r="Q318" t="s">
        <v>29</v>
      </c>
    </row>
    <row r="319" spans="1:17" ht="13.95" customHeight="1" outlineLevel="3" x14ac:dyDescent="0.25">
      <c r="A319" t="s">
        <v>1</v>
      </c>
      <c r="B319" s="2">
        <v>41095</v>
      </c>
      <c r="C319" s="2">
        <v>41095</v>
      </c>
      <c r="D319" s="2">
        <v>41140</v>
      </c>
      <c r="E319" s="2"/>
      <c r="F319" t="s">
        <v>2</v>
      </c>
      <c r="G319" s="3">
        <v>45</v>
      </c>
      <c r="H319" s="4">
        <v>23566.26</v>
      </c>
      <c r="I319" t="s">
        <v>3</v>
      </c>
      <c r="J319" s="6">
        <v>1400000062</v>
      </c>
      <c r="K319" t="s">
        <v>0</v>
      </c>
      <c r="L319" s="3">
        <v>2945</v>
      </c>
      <c r="M319" s="3">
        <v>2914</v>
      </c>
      <c r="N319" s="6">
        <v>140000</v>
      </c>
      <c r="O319" s="6">
        <v>1050</v>
      </c>
      <c r="P319">
        <v>108</v>
      </c>
      <c r="Q319" t="s">
        <v>30</v>
      </c>
    </row>
    <row r="320" spans="1:17" ht="13.95" customHeight="1" outlineLevel="3" x14ac:dyDescent="0.25">
      <c r="A320" t="s">
        <v>1</v>
      </c>
      <c r="B320" s="2">
        <v>41095</v>
      </c>
      <c r="C320" s="2">
        <v>41095</v>
      </c>
      <c r="D320" s="2">
        <v>41140</v>
      </c>
      <c r="E320" s="2"/>
      <c r="F320" t="s">
        <v>2</v>
      </c>
      <c r="G320" s="3">
        <v>45</v>
      </c>
      <c r="H320" s="4">
        <v>64972.47</v>
      </c>
      <c r="I320" t="s">
        <v>3</v>
      </c>
      <c r="J320" s="6">
        <v>1400000061</v>
      </c>
      <c r="K320" t="s">
        <v>0</v>
      </c>
      <c r="L320" s="3">
        <v>2945</v>
      </c>
      <c r="M320" s="3">
        <v>2914</v>
      </c>
      <c r="N320" s="6">
        <v>140000</v>
      </c>
      <c r="O320" s="6">
        <v>1050</v>
      </c>
      <c r="P320">
        <v>108</v>
      </c>
      <c r="Q320" t="s">
        <v>30</v>
      </c>
    </row>
    <row r="321" spans="1:17" ht="13.95" customHeight="1" outlineLevel="3" x14ac:dyDescent="0.25">
      <c r="A321" t="s">
        <v>1</v>
      </c>
      <c r="B321" s="2">
        <v>41095</v>
      </c>
      <c r="C321" s="2">
        <v>41095</v>
      </c>
      <c r="D321" s="2">
        <v>41140</v>
      </c>
      <c r="E321" s="2"/>
      <c r="F321" t="s">
        <v>2</v>
      </c>
      <c r="G321" s="3">
        <v>45</v>
      </c>
      <c r="H321" s="4">
        <v>20955.990000000002</v>
      </c>
      <c r="I321" t="s">
        <v>3</v>
      </c>
      <c r="J321" s="6">
        <v>1400000060</v>
      </c>
      <c r="K321" t="s">
        <v>0</v>
      </c>
      <c r="L321" s="3">
        <v>2945</v>
      </c>
      <c r="M321" s="3">
        <v>2914</v>
      </c>
      <c r="N321" s="6">
        <v>140000</v>
      </c>
      <c r="O321" s="6">
        <v>1050</v>
      </c>
      <c r="P321">
        <v>108</v>
      </c>
      <c r="Q321" t="s">
        <v>30</v>
      </c>
    </row>
    <row r="322" spans="1:17" ht="13.95" customHeight="1" outlineLevel="3" x14ac:dyDescent="0.25">
      <c r="A322" t="s">
        <v>1</v>
      </c>
      <c r="B322" s="2">
        <v>41095</v>
      </c>
      <c r="C322" s="2">
        <v>41095</v>
      </c>
      <c r="D322" s="2">
        <v>41140</v>
      </c>
      <c r="E322" s="2"/>
      <c r="F322" t="s">
        <v>2</v>
      </c>
      <c r="G322" s="3">
        <v>45</v>
      </c>
      <c r="H322" s="4">
        <v>27493.97</v>
      </c>
      <c r="I322" t="s">
        <v>3</v>
      </c>
      <c r="J322" s="6">
        <v>1400000059</v>
      </c>
      <c r="K322" t="s">
        <v>0</v>
      </c>
      <c r="L322" s="3">
        <v>2945</v>
      </c>
      <c r="M322" s="3">
        <v>2914</v>
      </c>
      <c r="N322" s="6">
        <v>140000</v>
      </c>
      <c r="O322" s="6">
        <v>1050</v>
      </c>
      <c r="P322">
        <v>108</v>
      </c>
      <c r="Q322" t="s">
        <v>30</v>
      </c>
    </row>
    <row r="323" spans="1:17" ht="13.95" customHeight="1" outlineLevel="3" x14ac:dyDescent="0.25">
      <c r="A323" t="s">
        <v>1</v>
      </c>
      <c r="B323" s="2">
        <v>41095</v>
      </c>
      <c r="C323" s="2">
        <v>41095</v>
      </c>
      <c r="D323" s="2">
        <v>41140</v>
      </c>
      <c r="E323" s="2"/>
      <c r="F323" t="s">
        <v>2</v>
      </c>
      <c r="G323" s="3">
        <v>45</v>
      </c>
      <c r="H323" s="4">
        <v>61150.559999999998</v>
      </c>
      <c r="I323" t="s">
        <v>3</v>
      </c>
      <c r="J323" s="6">
        <v>1400000058</v>
      </c>
      <c r="K323" t="s">
        <v>0</v>
      </c>
      <c r="L323" s="3">
        <v>2945</v>
      </c>
      <c r="M323" s="3">
        <v>2914</v>
      </c>
      <c r="N323" s="6">
        <v>140000</v>
      </c>
      <c r="O323" s="6">
        <v>1050</v>
      </c>
      <c r="P323">
        <v>134</v>
      </c>
      <c r="Q323" t="s">
        <v>30</v>
      </c>
    </row>
    <row r="324" spans="1:17" ht="13.95" customHeight="1" outlineLevel="3" x14ac:dyDescent="0.25">
      <c r="A324" t="s">
        <v>1</v>
      </c>
      <c r="B324" s="2">
        <v>41095</v>
      </c>
      <c r="C324" s="2">
        <v>41095</v>
      </c>
      <c r="D324" s="2">
        <v>41140</v>
      </c>
      <c r="E324" s="2"/>
      <c r="F324" t="s">
        <v>2</v>
      </c>
      <c r="G324" s="3">
        <v>45</v>
      </c>
      <c r="H324" s="4">
        <v>20955.990000000002</v>
      </c>
      <c r="I324" t="s">
        <v>3</v>
      </c>
      <c r="J324" s="6">
        <v>1400000057</v>
      </c>
      <c r="K324" t="s">
        <v>0</v>
      </c>
      <c r="L324" s="3">
        <v>2945</v>
      </c>
      <c r="M324" s="3">
        <v>2914</v>
      </c>
      <c r="N324" s="6">
        <v>140000</v>
      </c>
      <c r="O324" s="6">
        <v>1050</v>
      </c>
      <c r="P324">
        <v>134</v>
      </c>
      <c r="Q324" t="s">
        <v>30</v>
      </c>
    </row>
    <row r="325" spans="1:17" ht="13.95" customHeight="1" outlineLevel="3" x14ac:dyDescent="0.25">
      <c r="A325" t="s">
        <v>1</v>
      </c>
      <c r="B325" s="2">
        <v>41090</v>
      </c>
      <c r="C325" s="2">
        <v>41090</v>
      </c>
      <c r="D325" s="2">
        <v>41135</v>
      </c>
      <c r="E325" s="2"/>
      <c r="F325" t="s">
        <v>2</v>
      </c>
      <c r="G325" s="3">
        <v>45</v>
      </c>
      <c r="H325" s="4">
        <v>15710.84</v>
      </c>
      <c r="I325" t="s">
        <v>3</v>
      </c>
      <c r="J325" s="6">
        <v>1400000053</v>
      </c>
      <c r="K325" t="s">
        <v>0</v>
      </c>
      <c r="L325" s="3">
        <v>2950</v>
      </c>
      <c r="M325" s="3">
        <v>2919</v>
      </c>
      <c r="N325" s="6">
        <v>140000</v>
      </c>
      <c r="O325" s="6">
        <v>1050</v>
      </c>
      <c r="P325">
        <v>139</v>
      </c>
      <c r="Q325" t="s">
        <v>30</v>
      </c>
    </row>
    <row r="326" spans="1:17" ht="13.95" customHeight="1" outlineLevel="3" x14ac:dyDescent="0.25">
      <c r="A326" t="s">
        <v>1</v>
      </c>
      <c r="B326" s="2">
        <v>41090</v>
      </c>
      <c r="C326" s="2">
        <v>41090</v>
      </c>
      <c r="D326" s="2">
        <v>41135</v>
      </c>
      <c r="E326" s="2"/>
      <c r="F326" t="s">
        <v>2</v>
      </c>
      <c r="G326" s="3">
        <v>45</v>
      </c>
      <c r="H326" s="4">
        <v>57328.65</v>
      </c>
      <c r="I326" t="s">
        <v>3</v>
      </c>
      <c r="J326" s="6">
        <v>1400000052</v>
      </c>
      <c r="K326" t="s">
        <v>0</v>
      </c>
      <c r="L326" s="3">
        <v>2950</v>
      </c>
      <c r="M326" s="3">
        <v>2919</v>
      </c>
      <c r="N326" s="6">
        <v>140000</v>
      </c>
      <c r="O326" s="6">
        <v>1050</v>
      </c>
      <c r="P326">
        <v>139</v>
      </c>
      <c r="Q326" t="s">
        <v>30</v>
      </c>
    </row>
    <row r="327" spans="1:17" ht="13.95" customHeight="1" outlineLevel="3" x14ac:dyDescent="0.25">
      <c r="A327" t="s">
        <v>1</v>
      </c>
      <c r="B327" s="2">
        <v>41090</v>
      </c>
      <c r="C327" s="2">
        <v>41090</v>
      </c>
      <c r="D327" s="2">
        <v>41135</v>
      </c>
      <c r="E327" s="2"/>
      <c r="F327" t="s">
        <v>2</v>
      </c>
      <c r="G327" s="3">
        <v>45</v>
      </c>
      <c r="H327" s="4">
        <v>27941.32</v>
      </c>
      <c r="I327" t="s">
        <v>3</v>
      </c>
      <c r="J327" s="6">
        <v>1400000051</v>
      </c>
      <c r="K327" t="s">
        <v>0</v>
      </c>
      <c r="L327" s="3">
        <v>2950</v>
      </c>
      <c r="M327" s="3">
        <v>2919</v>
      </c>
      <c r="N327" s="6">
        <v>140000</v>
      </c>
      <c r="O327" s="6">
        <v>1050</v>
      </c>
      <c r="P327">
        <v>-2380</v>
      </c>
      <c r="Q327" t="s">
        <v>28</v>
      </c>
    </row>
    <row r="328" spans="1:17" ht="13.95" customHeight="1" outlineLevel="3" x14ac:dyDescent="0.25">
      <c r="A328" t="s">
        <v>1</v>
      </c>
      <c r="B328" s="2">
        <v>41090</v>
      </c>
      <c r="C328" s="2">
        <v>41090</v>
      </c>
      <c r="D328" s="2">
        <v>41135</v>
      </c>
      <c r="E328" s="2"/>
      <c r="F328" t="s">
        <v>2</v>
      </c>
      <c r="G328" s="3">
        <v>45</v>
      </c>
      <c r="H328" s="4">
        <v>23566.26</v>
      </c>
      <c r="I328" t="s">
        <v>3</v>
      </c>
      <c r="J328" s="6">
        <v>1400000050</v>
      </c>
      <c r="K328" t="s">
        <v>0</v>
      </c>
      <c r="L328" s="3">
        <v>2950</v>
      </c>
      <c r="M328" s="3">
        <v>2919</v>
      </c>
      <c r="N328" s="6">
        <v>140000</v>
      </c>
      <c r="O328" s="6">
        <v>1050</v>
      </c>
      <c r="P328">
        <v>966</v>
      </c>
      <c r="Q328" t="s">
        <v>32</v>
      </c>
    </row>
    <row r="329" spans="1:17" ht="13.95" customHeight="1" outlineLevel="3" x14ac:dyDescent="0.25">
      <c r="A329" t="s">
        <v>1</v>
      </c>
      <c r="B329" s="2">
        <v>41090</v>
      </c>
      <c r="C329" s="2">
        <v>41090</v>
      </c>
      <c r="D329" s="2">
        <v>41135</v>
      </c>
      <c r="E329" s="2"/>
      <c r="F329" t="s">
        <v>2</v>
      </c>
      <c r="G329" s="3">
        <v>45</v>
      </c>
      <c r="H329" s="4">
        <v>53506.74</v>
      </c>
      <c r="I329" t="s">
        <v>3</v>
      </c>
      <c r="J329" s="6">
        <v>1400000049</v>
      </c>
      <c r="K329" t="s">
        <v>0</v>
      </c>
      <c r="L329" s="3">
        <v>2950</v>
      </c>
      <c r="M329" s="3">
        <v>2919</v>
      </c>
      <c r="N329" s="6">
        <v>140000</v>
      </c>
      <c r="O329" s="6">
        <v>1050</v>
      </c>
      <c r="P329">
        <v>966</v>
      </c>
      <c r="Q329" t="s">
        <v>32</v>
      </c>
    </row>
    <row r="330" spans="1:17" ht="13.95" customHeight="1" outlineLevel="3" x14ac:dyDescent="0.25">
      <c r="A330" t="s">
        <v>1</v>
      </c>
      <c r="B330" s="2">
        <v>41090</v>
      </c>
      <c r="C330" s="2">
        <v>41090</v>
      </c>
      <c r="D330" s="2">
        <v>41135</v>
      </c>
      <c r="E330" s="2"/>
      <c r="F330" t="s">
        <v>2</v>
      </c>
      <c r="G330" s="3">
        <v>45</v>
      </c>
      <c r="H330" s="4">
        <v>27941.32</v>
      </c>
      <c r="I330" t="s">
        <v>3</v>
      </c>
      <c r="J330" s="6">
        <v>1400000048</v>
      </c>
      <c r="K330" t="s">
        <v>0</v>
      </c>
      <c r="L330" s="3">
        <v>2950</v>
      </c>
      <c r="M330" s="3">
        <v>2919</v>
      </c>
      <c r="N330" s="6">
        <v>140000</v>
      </c>
      <c r="O330" s="6">
        <v>1050</v>
      </c>
      <c r="P330">
        <v>161</v>
      </c>
      <c r="Q330" t="s">
        <v>30</v>
      </c>
    </row>
    <row r="331" spans="1:17" ht="13.95" customHeight="1" outlineLevel="3" x14ac:dyDescent="0.25">
      <c r="A331" t="s">
        <v>1</v>
      </c>
      <c r="B331" s="2">
        <v>41060</v>
      </c>
      <c r="C331" s="2">
        <v>41060</v>
      </c>
      <c r="D331" s="2">
        <v>41105</v>
      </c>
      <c r="E331" s="2"/>
      <c r="F331" t="s">
        <v>2</v>
      </c>
      <c r="G331" s="3">
        <v>45</v>
      </c>
      <c r="H331" s="4">
        <v>15710.84</v>
      </c>
      <c r="I331" t="s">
        <v>3</v>
      </c>
      <c r="J331" s="6">
        <v>1400000044</v>
      </c>
      <c r="K331" t="s">
        <v>0</v>
      </c>
      <c r="L331" s="3">
        <v>2980</v>
      </c>
      <c r="M331" s="3">
        <v>2949</v>
      </c>
      <c r="N331" s="6">
        <v>140000</v>
      </c>
      <c r="O331" s="6">
        <v>1050</v>
      </c>
      <c r="P331">
        <v>169</v>
      </c>
      <c r="Q331" t="s">
        <v>30</v>
      </c>
    </row>
    <row r="332" spans="1:17" ht="13.95" customHeight="1" outlineLevel="3" x14ac:dyDescent="0.25">
      <c r="A332" t="s">
        <v>1</v>
      </c>
      <c r="B332" s="2">
        <v>41060</v>
      </c>
      <c r="C332" s="2">
        <v>41060</v>
      </c>
      <c r="D332" s="2">
        <v>41105</v>
      </c>
      <c r="E332" s="2"/>
      <c r="F332" t="s">
        <v>2</v>
      </c>
      <c r="G332" s="3">
        <v>45</v>
      </c>
      <c r="H332" s="4">
        <v>45862.92</v>
      </c>
      <c r="I332" t="s">
        <v>3</v>
      </c>
      <c r="J332" s="6">
        <v>1400000043</v>
      </c>
      <c r="K332" t="s">
        <v>0</v>
      </c>
      <c r="L332" s="3">
        <v>2980</v>
      </c>
      <c r="M332" s="3">
        <v>2949</v>
      </c>
      <c r="N332" s="6">
        <v>140000</v>
      </c>
      <c r="O332" s="6">
        <v>1050</v>
      </c>
      <c r="P332">
        <v>169</v>
      </c>
      <c r="Q332" t="s">
        <v>30</v>
      </c>
    </row>
    <row r="333" spans="1:17" ht="13.95" customHeight="1" outlineLevel="3" x14ac:dyDescent="0.25">
      <c r="A333" t="s">
        <v>1</v>
      </c>
      <c r="B333" s="2">
        <v>41157</v>
      </c>
      <c r="C333" s="2">
        <v>41157</v>
      </c>
      <c r="D333" s="2">
        <v>41202</v>
      </c>
      <c r="E333" s="2"/>
      <c r="F333" t="s">
        <v>2</v>
      </c>
      <c r="G333" s="3">
        <v>45</v>
      </c>
      <c r="H333" s="4">
        <v>43204.81</v>
      </c>
      <c r="I333" t="s">
        <v>3</v>
      </c>
      <c r="J333" s="6">
        <v>1400000092</v>
      </c>
      <c r="K333" t="s">
        <v>0</v>
      </c>
      <c r="L333" s="3">
        <v>2883</v>
      </c>
      <c r="M333" s="3">
        <v>2852</v>
      </c>
      <c r="N333" s="6">
        <v>140000</v>
      </c>
      <c r="O333" s="6">
        <v>1050</v>
      </c>
      <c r="P333">
        <v>0</v>
      </c>
      <c r="Q333" t="s">
        <v>28</v>
      </c>
    </row>
    <row r="334" spans="1:17" ht="13.95" customHeight="1" outlineLevel="3" x14ac:dyDescent="0.25">
      <c r="A334" t="s">
        <v>1</v>
      </c>
      <c r="B334" s="2">
        <v>41305</v>
      </c>
      <c r="C334" s="2">
        <v>41305</v>
      </c>
      <c r="D334" s="2">
        <v>41350</v>
      </c>
      <c r="E334" s="2"/>
      <c r="F334" t="s">
        <v>2</v>
      </c>
      <c r="G334" s="3">
        <v>45</v>
      </c>
      <c r="H334" s="4">
        <v>34926.65</v>
      </c>
      <c r="I334" t="s">
        <v>3</v>
      </c>
      <c r="J334" s="6">
        <v>1400000003</v>
      </c>
      <c r="K334" t="s">
        <v>0</v>
      </c>
      <c r="L334" s="3">
        <v>2735</v>
      </c>
      <c r="M334" s="3">
        <v>2704</v>
      </c>
      <c r="N334" s="6">
        <v>140000</v>
      </c>
      <c r="O334" s="6">
        <v>1050</v>
      </c>
      <c r="P334">
        <v>-76</v>
      </c>
      <c r="Q334" t="s">
        <v>28</v>
      </c>
    </row>
    <row r="335" spans="1:17" ht="13.95" customHeight="1" outlineLevel="3" x14ac:dyDescent="0.25">
      <c r="A335" t="s">
        <v>1</v>
      </c>
      <c r="B335" s="2">
        <v>41274</v>
      </c>
      <c r="C335" s="2">
        <v>41274</v>
      </c>
      <c r="D335" s="2">
        <v>41319</v>
      </c>
      <c r="E335" s="2"/>
      <c r="F335" t="s">
        <v>2</v>
      </c>
      <c r="G335" s="3">
        <v>45</v>
      </c>
      <c r="H335" s="4">
        <v>43204.81</v>
      </c>
      <c r="I335" t="s">
        <v>3</v>
      </c>
      <c r="J335" s="6">
        <v>1400000122</v>
      </c>
      <c r="K335" t="s">
        <v>0</v>
      </c>
      <c r="L335" s="3">
        <v>2766</v>
      </c>
      <c r="M335" s="3">
        <v>2735</v>
      </c>
      <c r="N335" s="6">
        <v>140000</v>
      </c>
      <c r="O335" s="6">
        <v>1050</v>
      </c>
      <c r="P335">
        <v>-411</v>
      </c>
      <c r="Q335" t="s">
        <v>28</v>
      </c>
    </row>
    <row r="336" spans="1:17" ht="13.95" customHeight="1" outlineLevel="3" x14ac:dyDescent="0.25">
      <c r="A336" t="s">
        <v>1</v>
      </c>
      <c r="B336" s="2">
        <v>41274</v>
      </c>
      <c r="C336" s="2">
        <v>41274</v>
      </c>
      <c r="D336" s="2">
        <v>41319</v>
      </c>
      <c r="E336" s="2"/>
      <c r="F336" t="s">
        <v>2</v>
      </c>
      <c r="G336" s="3">
        <v>45</v>
      </c>
      <c r="H336" s="4">
        <v>22931.46</v>
      </c>
      <c r="I336" t="s">
        <v>3</v>
      </c>
      <c r="J336" s="6">
        <v>1400000121</v>
      </c>
      <c r="K336" t="s">
        <v>0</v>
      </c>
      <c r="L336" s="3">
        <v>2766</v>
      </c>
      <c r="M336" s="3">
        <v>2735</v>
      </c>
      <c r="N336" s="6">
        <v>140000</v>
      </c>
      <c r="O336" s="6">
        <v>1050</v>
      </c>
      <c r="P336">
        <v>-411</v>
      </c>
      <c r="Q336" t="s">
        <v>28</v>
      </c>
    </row>
    <row r="337" spans="1:17" ht="13.95" customHeight="1" outlineLevel="3" x14ac:dyDescent="0.25">
      <c r="A337" t="s">
        <v>1</v>
      </c>
      <c r="B337" s="2">
        <v>41274</v>
      </c>
      <c r="C337" s="2">
        <v>41274</v>
      </c>
      <c r="D337" s="2">
        <v>41319</v>
      </c>
      <c r="E337" s="2"/>
      <c r="F337" t="s">
        <v>2</v>
      </c>
      <c r="G337" s="3">
        <v>45</v>
      </c>
      <c r="H337" s="4">
        <v>34926.65</v>
      </c>
      <c r="I337" t="s">
        <v>3</v>
      </c>
      <c r="J337" s="6">
        <v>1400000120</v>
      </c>
      <c r="K337" t="s">
        <v>0</v>
      </c>
      <c r="L337" s="3">
        <v>2766</v>
      </c>
      <c r="M337" s="3">
        <v>2735</v>
      </c>
      <c r="N337" s="6">
        <v>140000</v>
      </c>
      <c r="O337" s="6">
        <v>1050</v>
      </c>
      <c r="P337">
        <v>-411</v>
      </c>
      <c r="Q337" t="s">
        <v>28</v>
      </c>
    </row>
    <row r="338" spans="1:17" ht="13.95" customHeight="1" outlineLevel="3" x14ac:dyDescent="0.25">
      <c r="A338" t="s">
        <v>1</v>
      </c>
      <c r="B338" s="2">
        <v>41274</v>
      </c>
      <c r="C338" s="2">
        <v>41274</v>
      </c>
      <c r="D338" s="2">
        <v>41319</v>
      </c>
      <c r="E338" s="2"/>
      <c r="F338" t="s">
        <v>2</v>
      </c>
      <c r="G338" s="3">
        <v>45</v>
      </c>
      <c r="H338" s="4">
        <v>47132.52</v>
      </c>
      <c r="I338" t="s">
        <v>3</v>
      </c>
      <c r="J338" s="6">
        <v>1400000119</v>
      </c>
      <c r="K338" t="s">
        <v>0</v>
      </c>
      <c r="L338" s="3">
        <v>2766</v>
      </c>
      <c r="M338" s="3">
        <v>2735</v>
      </c>
      <c r="N338" s="6">
        <v>140000</v>
      </c>
      <c r="O338" s="6">
        <v>1050</v>
      </c>
      <c r="P338">
        <v>-411</v>
      </c>
      <c r="Q338" t="s">
        <v>28</v>
      </c>
    </row>
    <row r="339" spans="1:17" ht="13.95" customHeight="1" outlineLevel="3" x14ac:dyDescent="0.25">
      <c r="A339" t="s">
        <v>1</v>
      </c>
      <c r="B339" s="2">
        <v>41274</v>
      </c>
      <c r="C339" s="2">
        <v>41274</v>
      </c>
      <c r="D339" s="2">
        <v>41319</v>
      </c>
      <c r="E339" s="2"/>
      <c r="F339" t="s">
        <v>2</v>
      </c>
      <c r="G339" s="3">
        <v>45</v>
      </c>
      <c r="H339" s="4">
        <v>26753.37</v>
      </c>
      <c r="I339" t="s">
        <v>3</v>
      </c>
      <c r="J339" s="6">
        <v>1400000118</v>
      </c>
      <c r="K339" t="s">
        <v>0</v>
      </c>
      <c r="L339" s="3">
        <v>2766</v>
      </c>
      <c r="M339" s="3">
        <v>2735</v>
      </c>
      <c r="N339" s="6">
        <v>140000</v>
      </c>
      <c r="O339" s="6">
        <v>1050</v>
      </c>
      <c r="P339">
        <v>-411</v>
      </c>
      <c r="Q339" t="s">
        <v>28</v>
      </c>
    </row>
    <row r="340" spans="1:17" ht="13.95" customHeight="1" outlineLevel="3" x14ac:dyDescent="0.25">
      <c r="A340" t="s">
        <v>1</v>
      </c>
      <c r="B340" s="2">
        <v>41274</v>
      </c>
      <c r="C340" s="2">
        <v>41274</v>
      </c>
      <c r="D340" s="2">
        <v>41319</v>
      </c>
      <c r="E340" s="2"/>
      <c r="F340" t="s">
        <v>2</v>
      </c>
      <c r="G340" s="3">
        <v>45</v>
      </c>
      <c r="H340" s="4">
        <v>31433.99</v>
      </c>
      <c r="I340" t="s">
        <v>3</v>
      </c>
      <c r="J340" s="6">
        <v>1400000117</v>
      </c>
      <c r="K340" t="s">
        <v>0</v>
      </c>
      <c r="L340" s="3">
        <v>2766</v>
      </c>
      <c r="M340" s="3">
        <v>2735</v>
      </c>
      <c r="N340" s="6">
        <v>140000</v>
      </c>
      <c r="O340" s="6">
        <v>1050</v>
      </c>
      <c r="P340">
        <v>-411</v>
      </c>
      <c r="Q340" t="s">
        <v>28</v>
      </c>
    </row>
    <row r="341" spans="1:17" ht="13.95" customHeight="1" outlineLevel="3" x14ac:dyDescent="0.25">
      <c r="A341" t="s">
        <v>1</v>
      </c>
      <c r="B341" s="2">
        <v>41226</v>
      </c>
      <c r="C341" s="2">
        <v>41226</v>
      </c>
      <c r="D341" s="2">
        <v>41271</v>
      </c>
      <c r="E341" s="2"/>
      <c r="F341" t="s">
        <v>2</v>
      </c>
      <c r="G341" s="3">
        <v>45</v>
      </c>
      <c r="H341" s="4">
        <v>47132.52</v>
      </c>
      <c r="I341" t="s">
        <v>3</v>
      </c>
      <c r="J341" s="6">
        <v>1400000113</v>
      </c>
      <c r="K341" t="s">
        <v>0</v>
      </c>
      <c r="L341" s="3">
        <v>2814</v>
      </c>
      <c r="M341" s="3">
        <v>2783</v>
      </c>
      <c r="N341" s="6">
        <v>140000</v>
      </c>
      <c r="O341" s="6">
        <v>1050</v>
      </c>
      <c r="P341">
        <v>-363</v>
      </c>
      <c r="Q341" t="s">
        <v>28</v>
      </c>
    </row>
    <row r="342" spans="1:17" ht="13.95" customHeight="1" outlineLevel="3" x14ac:dyDescent="0.25">
      <c r="A342" t="s">
        <v>1</v>
      </c>
      <c r="B342" s="2">
        <v>41226</v>
      </c>
      <c r="C342" s="2">
        <v>41226</v>
      </c>
      <c r="D342" s="2">
        <v>41271</v>
      </c>
      <c r="E342" s="2"/>
      <c r="F342" t="s">
        <v>2</v>
      </c>
      <c r="G342" s="3">
        <v>45</v>
      </c>
      <c r="H342" s="4">
        <v>30575.279999999999</v>
      </c>
      <c r="I342" t="s">
        <v>3</v>
      </c>
      <c r="J342" s="6">
        <v>1400000112</v>
      </c>
      <c r="K342" t="s">
        <v>0</v>
      </c>
      <c r="L342" s="3">
        <v>2814</v>
      </c>
      <c r="M342" s="3">
        <v>2783</v>
      </c>
      <c r="N342" s="6">
        <v>140000</v>
      </c>
      <c r="O342" s="6">
        <v>1050</v>
      </c>
      <c r="P342">
        <v>-363</v>
      </c>
      <c r="Q342" t="s">
        <v>28</v>
      </c>
    </row>
    <row r="343" spans="1:17" ht="13.95" customHeight="1" outlineLevel="3" x14ac:dyDescent="0.25">
      <c r="A343" t="s">
        <v>1</v>
      </c>
      <c r="B343" s="2">
        <v>41226</v>
      </c>
      <c r="C343" s="2">
        <v>41226</v>
      </c>
      <c r="D343" s="2">
        <v>41271</v>
      </c>
      <c r="E343" s="2"/>
      <c r="F343" t="s">
        <v>2</v>
      </c>
      <c r="G343" s="3">
        <v>45</v>
      </c>
      <c r="H343" s="4">
        <v>31433.99</v>
      </c>
      <c r="I343" t="s">
        <v>3</v>
      </c>
      <c r="J343" s="6">
        <v>1400000111</v>
      </c>
      <c r="K343" t="s">
        <v>0</v>
      </c>
      <c r="L343" s="3">
        <v>2814</v>
      </c>
      <c r="M343" s="3">
        <v>2783</v>
      </c>
      <c r="N343" s="6">
        <v>140000</v>
      </c>
      <c r="O343" s="6">
        <v>1050</v>
      </c>
      <c r="P343">
        <v>-363</v>
      </c>
      <c r="Q343" t="s">
        <v>28</v>
      </c>
    </row>
    <row r="344" spans="1:17" ht="13.95" customHeight="1" outlineLevel="3" x14ac:dyDescent="0.25">
      <c r="A344" t="s">
        <v>1</v>
      </c>
      <c r="B344" s="2">
        <v>41226</v>
      </c>
      <c r="C344" s="2">
        <v>41226</v>
      </c>
      <c r="D344" s="2">
        <v>41271</v>
      </c>
      <c r="E344" s="2"/>
      <c r="F344" t="s">
        <v>2</v>
      </c>
      <c r="G344" s="3">
        <v>45</v>
      </c>
      <c r="H344" s="4">
        <v>51060.23</v>
      </c>
      <c r="I344" t="s">
        <v>3</v>
      </c>
      <c r="J344" s="6">
        <v>1400000110</v>
      </c>
      <c r="K344" t="s">
        <v>0</v>
      </c>
      <c r="L344" s="3">
        <v>2814</v>
      </c>
      <c r="M344" s="3">
        <v>2783</v>
      </c>
      <c r="N344" s="6">
        <v>140000</v>
      </c>
      <c r="O344" s="6">
        <v>1050</v>
      </c>
      <c r="P344">
        <v>-363</v>
      </c>
      <c r="Q344" t="s">
        <v>28</v>
      </c>
    </row>
    <row r="345" spans="1:17" ht="13.95" customHeight="1" outlineLevel="3" x14ac:dyDescent="0.25">
      <c r="A345" t="s">
        <v>1</v>
      </c>
      <c r="B345" s="2">
        <v>41226</v>
      </c>
      <c r="C345" s="2">
        <v>41226</v>
      </c>
      <c r="D345" s="2">
        <v>41271</v>
      </c>
      <c r="E345" s="2"/>
      <c r="F345" t="s">
        <v>2</v>
      </c>
      <c r="G345" s="3">
        <v>45</v>
      </c>
      <c r="H345" s="4">
        <v>34397.19</v>
      </c>
      <c r="I345" t="s">
        <v>3</v>
      </c>
      <c r="J345" s="6">
        <v>1400000109</v>
      </c>
      <c r="K345" t="s">
        <v>0</v>
      </c>
      <c r="L345" s="3">
        <v>2814</v>
      </c>
      <c r="M345" s="3">
        <v>2783</v>
      </c>
      <c r="N345" s="6">
        <v>140000</v>
      </c>
      <c r="O345" s="6">
        <v>1050</v>
      </c>
      <c r="P345">
        <v>-363</v>
      </c>
      <c r="Q345" t="s">
        <v>28</v>
      </c>
    </row>
    <row r="346" spans="1:17" ht="13.95" customHeight="1" outlineLevel="3" x14ac:dyDescent="0.25">
      <c r="A346" t="s">
        <v>1</v>
      </c>
      <c r="B346" s="2">
        <v>41226</v>
      </c>
      <c r="C346" s="2">
        <v>41226</v>
      </c>
      <c r="D346" s="2">
        <v>41271</v>
      </c>
      <c r="E346" s="2"/>
      <c r="F346" t="s">
        <v>2</v>
      </c>
      <c r="G346" s="3">
        <v>45</v>
      </c>
      <c r="H346" s="4">
        <v>27941.32</v>
      </c>
      <c r="I346" t="s">
        <v>3</v>
      </c>
      <c r="J346" s="6">
        <v>1400000108</v>
      </c>
      <c r="K346" t="s">
        <v>0</v>
      </c>
      <c r="L346" s="3">
        <v>2814</v>
      </c>
      <c r="M346" s="3">
        <v>2783</v>
      </c>
      <c r="N346" s="6">
        <v>140000</v>
      </c>
      <c r="O346" s="6">
        <v>1050</v>
      </c>
      <c r="P346">
        <v>-363</v>
      </c>
      <c r="Q346" t="s">
        <v>28</v>
      </c>
    </row>
    <row r="347" spans="1:17" ht="13.95" customHeight="1" outlineLevel="3" x14ac:dyDescent="0.25">
      <c r="A347" t="s">
        <v>1</v>
      </c>
      <c r="B347" s="2">
        <v>41187</v>
      </c>
      <c r="C347" s="2">
        <v>41187</v>
      </c>
      <c r="D347" s="2">
        <v>41232</v>
      </c>
      <c r="E347" s="2"/>
      <c r="F347" t="s">
        <v>2</v>
      </c>
      <c r="G347" s="3">
        <v>45</v>
      </c>
      <c r="H347" s="4">
        <v>51060.23</v>
      </c>
      <c r="I347" t="s">
        <v>3</v>
      </c>
      <c r="J347" s="6">
        <v>1400000104</v>
      </c>
      <c r="K347" t="s">
        <v>0</v>
      </c>
      <c r="L347" s="3">
        <v>2853</v>
      </c>
      <c r="M347" s="3">
        <v>2822</v>
      </c>
      <c r="N347" s="6">
        <v>140000</v>
      </c>
      <c r="O347" s="6">
        <v>1050</v>
      </c>
      <c r="P347">
        <v>-324</v>
      </c>
      <c r="Q347" t="s">
        <v>28</v>
      </c>
    </row>
    <row r="348" spans="1:17" ht="13.95" customHeight="1" outlineLevel="3" x14ac:dyDescent="0.25">
      <c r="A348" t="s">
        <v>1</v>
      </c>
      <c r="B348" s="2">
        <v>41187</v>
      </c>
      <c r="C348" s="2">
        <v>41187</v>
      </c>
      <c r="D348" s="2">
        <v>41232</v>
      </c>
      <c r="E348" s="2"/>
      <c r="F348" t="s">
        <v>2</v>
      </c>
      <c r="G348" s="3">
        <v>45</v>
      </c>
      <c r="H348" s="4">
        <v>38219.1</v>
      </c>
      <c r="I348" t="s">
        <v>3</v>
      </c>
      <c r="J348" s="6">
        <v>1400000103</v>
      </c>
      <c r="K348" t="s">
        <v>0</v>
      </c>
      <c r="L348" s="3">
        <v>2853</v>
      </c>
      <c r="M348" s="3">
        <v>2822</v>
      </c>
      <c r="N348" s="6">
        <v>140000</v>
      </c>
      <c r="O348" s="6">
        <v>1050</v>
      </c>
      <c r="P348">
        <v>-324</v>
      </c>
      <c r="Q348" t="s">
        <v>28</v>
      </c>
    </row>
    <row r="349" spans="1:17" ht="13.95" customHeight="1" outlineLevel="3" x14ac:dyDescent="0.25">
      <c r="A349" t="s">
        <v>1</v>
      </c>
      <c r="B349" s="2">
        <v>41187</v>
      </c>
      <c r="C349" s="2">
        <v>41187</v>
      </c>
      <c r="D349" s="2">
        <v>41232</v>
      </c>
      <c r="E349" s="2"/>
      <c r="F349" t="s">
        <v>2</v>
      </c>
      <c r="G349" s="3">
        <v>45</v>
      </c>
      <c r="H349" s="4">
        <v>24448.66</v>
      </c>
      <c r="I349" t="s">
        <v>3</v>
      </c>
      <c r="J349" s="6">
        <v>1400000102</v>
      </c>
      <c r="K349" t="s">
        <v>0</v>
      </c>
      <c r="L349" s="3">
        <v>2853</v>
      </c>
      <c r="M349" s="3">
        <v>2822</v>
      </c>
      <c r="N349" s="6">
        <v>140000</v>
      </c>
      <c r="O349" s="6">
        <v>1050</v>
      </c>
      <c r="P349">
        <v>-324</v>
      </c>
      <c r="Q349" t="s">
        <v>28</v>
      </c>
    </row>
    <row r="350" spans="1:17" ht="13.95" customHeight="1" outlineLevel="3" x14ac:dyDescent="0.25">
      <c r="A350" t="s">
        <v>1</v>
      </c>
      <c r="B350" s="2">
        <v>41187</v>
      </c>
      <c r="C350" s="2">
        <v>41187</v>
      </c>
      <c r="D350" s="2">
        <v>41232</v>
      </c>
      <c r="E350" s="2"/>
      <c r="F350" t="s">
        <v>2</v>
      </c>
      <c r="G350" s="3">
        <v>45</v>
      </c>
      <c r="H350" s="4">
        <v>54987.94</v>
      </c>
      <c r="I350" t="s">
        <v>3</v>
      </c>
      <c r="J350" s="6">
        <v>1400000101</v>
      </c>
      <c r="K350" t="s">
        <v>0</v>
      </c>
      <c r="L350" s="3">
        <v>2853</v>
      </c>
      <c r="M350" s="3">
        <v>2822</v>
      </c>
      <c r="N350" s="6">
        <v>140000</v>
      </c>
      <c r="O350" s="6">
        <v>1050</v>
      </c>
      <c r="P350">
        <v>-324</v>
      </c>
      <c r="Q350" t="s">
        <v>28</v>
      </c>
    </row>
    <row r="351" spans="1:17" ht="13.95" customHeight="1" outlineLevel="3" x14ac:dyDescent="0.25">
      <c r="A351" t="s">
        <v>1</v>
      </c>
      <c r="B351" s="2">
        <v>41187</v>
      </c>
      <c r="C351" s="2">
        <v>41187</v>
      </c>
      <c r="D351" s="2">
        <v>41232</v>
      </c>
      <c r="E351" s="2"/>
      <c r="F351" t="s">
        <v>2</v>
      </c>
      <c r="G351" s="3">
        <v>45</v>
      </c>
      <c r="H351" s="4">
        <v>42041.01</v>
      </c>
      <c r="I351" t="s">
        <v>3</v>
      </c>
      <c r="J351" s="6">
        <v>1400000100</v>
      </c>
      <c r="K351" t="s">
        <v>0</v>
      </c>
      <c r="L351" s="3">
        <v>2853</v>
      </c>
      <c r="M351" s="3">
        <v>2822</v>
      </c>
      <c r="N351" s="6">
        <v>140000</v>
      </c>
      <c r="O351" s="6">
        <v>1050</v>
      </c>
      <c r="P351">
        <v>-14</v>
      </c>
      <c r="Q351" t="s">
        <v>28</v>
      </c>
    </row>
    <row r="352" spans="1:17" ht="13.95" customHeight="1" outlineLevel="3" x14ac:dyDescent="0.25">
      <c r="A352" t="s">
        <v>1</v>
      </c>
      <c r="B352" s="2">
        <v>41187</v>
      </c>
      <c r="C352" s="2">
        <v>41187</v>
      </c>
      <c r="D352" s="2">
        <v>41232</v>
      </c>
      <c r="E352" s="2"/>
      <c r="F352" t="s">
        <v>2</v>
      </c>
      <c r="G352" s="3">
        <v>45</v>
      </c>
      <c r="H352" s="4">
        <v>20955.990000000002</v>
      </c>
      <c r="I352" t="s">
        <v>3</v>
      </c>
      <c r="J352" s="6">
        <v>1400000099</v>
      </c>
      <c r="K352" t="s">
        <v>0</v>
      </c>
      <c r="L352" s="3">
        <v>2853</v>
      </c>
      <c r="M352" s="3">
        <v>2822</v>
      </c>
      <c r="N352" s="6">
        <v>140000</v>
      </c>
      <c r="O352" s="6">
        <v>1050</v>
      </c>
      <c r="P352">
        <v>-14</v>
      </c>
      <c r="Q352" t="s">
        <v>28</v>
      </c>
    </row>
    <row r="353" spans="1:17" ht="13.95" customHeight="1" outlineLevel="3" x14ac:dyDescent="0.25">
      <c r="A353" t="s">
        <v>1</v>
      </c>
      <c r="B353" s="2">
        <v>41157</v>
      </c>
      <c r="C353" s="2">
        <v>41157</v>
      </c>
      <c r="D353" s="2">
        <v>41202</v>
      </c>
      <c r="E353" s="2"/>
      <c r="F353" t="s">
        <v>2</v>
      </c>
      <c r="G353" s="3">
        <v>45</v>
      </c>
      <c r="H353" s="4">
        <v>47132.52</v>
      </c>
      <c r="I353" t="s">
        <v>3</v>
      </c>
      <c r="J353" s="6">
        <v>1400000095</v>
      </c>
      <c r="K353" t="s">
        <v>0</v>
      </c>
      <c r="L353" s="3">
        <v>2883</v>
      </c>
      <c r="M353" s="3">
        <v>2852</v>
      </c>
      <c r="N353" s="6">
        <v>140000</v>
      </c>
      <c r="O353" s="6">
        <v>1050</v>
      </c>
      <c r="P353">
        <v>-14</v>
      </c>
      <c r="Q353" t="s">
        <v>28</v>
      </c>
    </row>
    <row r="354" spans="1:17" ht="13.95" customHeight="1" outlineLevel="3" x14ac:dyDescent="0.25">
      <c r="A354" t="s">
        <v>1</v>
      </c>
      <c r="B354" s="2">
        <v>41157</v>
      </c>
      <c r="C354" s="2">
        <v>41157</v>
      </c>
      <c r="D354" s="2">
        <v>41202</v>
      </c>
      <c r="E354" s="2"/>
      <c r="F354" t="s">
        <v>2</v>
      </c>
      <c r="G354" s="3">
        <v>45</v>
      </c>
      <c r="H354" s="4">
        <v>53506.74</v>
      </c>
      <c r="I354" t="s">
        <v>3</v>
      </c>
      <c r="J354" s="6">
        <v>1400000094</v>
      </c>
      <c r="K354" t="s">
        <v>0</v>
      </c>
      <c r="L354" s="3">
        <v>2883</v>
      </c>
      <c r="M354" s="3">
        <v>2852</v>
      </c>
      <c r="N354" s="6">
        <v>140000</v>
      </c>
      <c r="O354" s="6">
        <v>1050</v>
      </c>
      <c r="P354">
        <v>0</v>
      </c>
      <c r="Q354" t="s">
        <v>28</v>
      </c>
    </row>
    <row r="355" spans="1:17" ht="13.95" customHeight="1" outlineLevel="3" x14ac:dyDescent="0.25">
      <c r="A355" t="s">
        <v>1</v>
      </c>
      <c r="B355" s="2">
        <v>41157</v>
      </c>
      <c r="C355" s="2">
        <v>41157</v>
      </c>
      <c r="D355" s="2">
        <v>41202</v>
      </c>
      <c r="E355" s="2"/>
      <c r="F355" t="s">
        <v>2</v>
      </c>
      <c r="G355" s="3">
        <v>45</v>
      </c>
      <c r="H355" s="4">
        <v>17463.330000000002</v>
      </c>
      <c r="I355" t="s">
        <v>3</v>
      </c>
      <c r="J355" s="6">
        <v>1400000093</v>
      </c>
      <c r="K355" t="s">
        <v>0</v>
      </c>
      <c r="L355" s="3">
        <v>2883</v>
      </c>
      <c r="M355" s="3">
        <v>2852</v>
      </c>
      <c r="N355" s="6">
        <v>140000</v>
      </c>
      <c r="O355" s="6">
        <v>1050</v>
      </c>
      <c r="P355">
        <v>0</v>
      </c>
      <c r="Q355" t="s">
        <v>28</v>
      </c>
    </row>
    <row r="356" spans="1:17" ht="13.95" customHeight="1" outlineLevel="3" x14ac:dyDescent="0.25">
      <c r="A356" t="s">
        <v>1</v>
      </c>
      <c r="B356" s="2">
        <v>40025</v>
      </c>
      <c r="C356" s="2">
        <v>40025</v>
      </c>
      <c r="D356" s="2">
        <v>40070</v>
      </c>
      <c r="E356" s="2"/>
      <c r="F356" t="s">
        <v>2</v>
      </c>
      <c r="G356" s="3">
        <v>45</v>
      </c>
      <c r="H356" s="4">
        <v>28450.28</v>
      </c>
      <c r="I356" t="s">
        <v>3</v>
      </c>
      <c r="J356" s="6">
        <v>1400000129</v>
      </c>
      <c r="K356" t="s">
        <v>0</v>
      </c>
      <c r="L356" s="3">
        <v>4015</v>
      </c>
      <c r="M356" s="3">
        <v>3984</v>
      </c>
      <c r="N356" s="6">
        <v>140000</v>
      </c>
      <c r="O356" s="6">
        <v>1050</v>
      </c>
      <c r="P356">
        <v>499</v>
      </c>
      <c r="Q356" t="s">
        <v>32</v>
      </c>
    </row>
    <row r="357" spans="1:17" ht="13.95" customHeight="1" outlineLevel="3" x14ac:dyDescent="0.25">
      <c r="A357" t="s">
        <v>1</v>
      </c>
      <c r="B357" s="2">
        <v>40025</v>
      </c>
      <c r="C357" s="2">
        <v>40025</v>
      </c>
      <c r="D357" s="2">
        <v>40070</v>
      </c>
      <c r="E357" s="2"/>
      <c r="F357" t="s">
        <v>2</v>
      </c>
      <c r="G357" s="3">
        <v>45</v>
      </c>
      <c r="H357" s="4">
        <v>63277.54</v>
      </c>
      <c r="I357" t="s">
        <v>3</v>
      </c>
      <c r="J357" s="6">
        <v>1400000128</v>
      </c>
      <c r="K357" t="s">
        <v>0</v>
      </c>
      <c r="L357" s="3">
        <v>4015</v>
      </c>
      <c r="M357" s="3">
        <v>3984</v>
      </c>
      <c r="N357" s="6">
        <v>140000</v>
      </c>
      <c r="O357" s="6">
        <v>1050</v>
      </c>
      <c r="P357">
        <v>499</v>
      </c>
      <c r="Q357" t="s">
        <v>32</v>
      </c>
    </row>
    <row r="358" spans="1:17" ht="13.95" customHeight="1" outlineLevel="3" x14ac:dyDescent="0.25">
      <c r="A358" t="s">
        <v>1</v>
      </c>
      <c r="B358" s="2">
        <v>40025</v>
      </c>
      <c r="C358" s="2">
        <v>40025</v>
      </c>
      <c r="D358" s="2">
        <v>40070</v>
      </c>
      <c r="E358" s="2"/>
      <c r="F358" t="s">
        <v>2</v>
      </c>
      <c r="G358" s="3">
        <v>45</v>
      </c>
      <c r="H358" s="4">
        <v>21684.89</v>
      </c>
      <c r="I358" t="s">
        <v>3</v>
      </c>
      <c r="J358" s="6">
        <v>1400000127</v>
      </c>
      <c r="K358" t="s">
        <v>0</v>
      </c>
      <c r="L358" s="3">
        <v>4015</v>
      </c>
      <c r="M358" s="3">
        <v>3984</v>
      </c>
      <c r="N358" s="6">
        <v>140000</v>
      </c>
      <c r="O358" s="6">
        <v>1050</v>
      </c>
      <c r="P358">
        <v>838</v>
      </c>
      <c r="Q358" t="s">
        <v>32</v>
      </c>
    </row>
    <row r="359" spans="1:17" ht="13.95" customHeight="1" outlineLevel="3" x14ac:dyDescent="0.25">
      <c r="A359" t="s">
        <v>1</v>
      </c>
      <c r="B359" s="2">
        <v>39994</v>
      </c>
      <c r="C359" s="2">
        <v>39994</v>
      </c>
      <c r="D359" s="2">
        <v>40039</v>
      </c>
      <c r="E359" s="2"/>
      <c r="F359" t="s">
        <v>2</v>
      </c>
      <c r="G359" s="3">
        <v>45</v>
      </c>
      <c r="H359" s="4">
        <v>16257.3</v>
      </c>
      <c r="I359" t="s">
        <v>3</v>
      </c>
      <c r="J359" s="6">
        <v>1400000113</v>
      </c>
      <c r="K359" t="s">
        <v>0</v>
      </c>
      <c r="L359" s="3">
        <v>4046</v>
      </c>
      <c r="M359" s="3">
        <v>4015</v>
      </c>
      <c r="N359" s="6">
        <v>140000</v>
      </c>
      <c r="O359" s="6">
        <v>1050</v>
      </c>
      <c r="P359">
        <v>-363</v>
      </c>
      <c r="Q359" t="s">
        <v>28</v>
      </c>
    </row>
    <row r="360" spans="1:17" ht="13.95" customHeight="1" outlineLevel="3" x14ac:dyDescent="0.25">
      <c r="A360" t="s">
        <v>1</v>
      </c>
      <c r="B360" s="2">
        <v>39994</v>
      </c>
      <c r="C360" s="2">
        <v>39994</v>
      </c>
      <c r="D360" s="2">
        <v>40039</v>
      </c>
      <c r="E360" s="2"/>
      <c r="F360" t="s">
        <v>2</v>
      </c>
      <c r="G360" s="3">
        <v>45</v>
      </c>
      <c r="H360" s="4">
        <v>59322.69</v>
      </c>
      <c r="I360" t="s">
        <v>3</v>
      </c>
      <c r="J360" s="6">
        <v>1400000112</v>
      </c>
      <c r="K360" t="s">
        <v>0</v>
      </c>
      <c r="L360" s="3">
        <v>4046</v>
      </c>
      <c r="M360" s="3">
        <v>4015</v>
      </c>
      <c r="N360" s="6">
        <v>140000</v>
      </c>
      <c r="O360" s="6">
        <v>1050</v>
      </c>
      <c r="P360">
        <v>-363</v>
      </c>
      <c r="Q360" t="s">
        <v>28</v>
      </c>
    </row>
    <row r="361" spans="1:17" ht="13.95" customHeight="1" outlineLevel="3" x14ac:dyDescent="0.25">
      <c r="A361" t="s">
        <v>1</v>
      </c>
      <c r="B361" s="2">
        <v>39994</v>
      </c>
      <c r="C361" s="2">
        <v>39994</v>
      </c>
      <c r="D361" s="2">
        <v>40039</v>
      </c>
      <c r="E361" s="2"/>
      <c r="F361" t="s">
        <v>2</v>
      </c>
      <c r="G361" s="3">
        <v>45</v>
      </c>
      <c r="H361" s="4">
        <v>28913.19</v>
      </c>
      <c r="I361" t="s">
        <v>3</v>
      </c>
      <c r="J361" s="6">
        <v>1400000111</v>
      </c>
      <c r="K361" t="s">
        <v>0</v>
      </c>
      <c r="L361" s="3">
        <v>4046</v>
      </c>
      <c r="M361" s="3">
        <v>4015</v>
      </c>
      <c r="N361" s="6">
        <v>140000</v>
      </c>
      <c r="O361" s="6">
        <v>1050</v>
      </c>
      <c r="P361">
        <v>-363</v>
      </c>
      <c r="Q361" t="s">
        <v>28</v>
      </c>
    </row>
    <row r="362" spans="1:17" ht="13.95" customHeight="1" outlineLevel="3" x14ac:dyDescent="0.25">
      <c r="A362" t="s">
        <v>1</v>
      </c>
      <c r="B362" s="2">
        <v>39994</v>
      </c>
      <c r="C362" s="2">
        <v>39994</v>
      </c>
      <c r="D362" s="2">
        <v>40039</v>
      </c>
      <c r="E362" s="2"/>
      <c r="F362" t="s">
        <v>2</v>
      </c>
      <c r="G362" s="3">
        <v>45</v>
      </c>
      <c r="H362" s="4">
        <v>24385.96</v>
      </c>
      <c r="I362" t="s">
        <v>3</v>
      </c>
      <c r="J362" s="6">
        <v>1400000110</v>
      </c>
      <c r="K362" t="s">
        <v>0</v>
      </c>
      <c r="L362" s="3">
        <v>4046</v>
      </c>
      <c r="M362" s="3">
        <v>4015</v>
      </c>
      <c r="N362" s="6">
        <v>140000</v>
      </c>
      <c r="O362" s="6">
        <v>1050</v>
      </c>
      <c r="P362">
        <v>-363</v>
      </c>
      <c r="Q362" t="s">
        <v>28</v>
      </c>
    </row>
    <row r="363" spans="1:17" ht="13.95" customHeight="1" outlineLevel="3" x14ac:dyDescent="0.25">
      <c r="A363" t="s">
        <v>1</v>
      </c>
      <c r="B363" s="2">
        <v>39994</v>
      </c>
      <c r="C363" s="2">
        <v>39994</v>
      </c>
      <c r="D363" s="2">
        <v>40039</v>
      </c>
      <c r="E363" s="2"/>
      <c r="F363" t="s">
        <v>2</v>
      </c>
      <c r="G363" s="3">
        <v>45</v>
      </c>
      <c r="H363" s="4">
        <v>55367.839999999997</v>
      </c>
      <c r="I363" t="s">
        <v>3</v>
      </c>
      <c r="J363" s="6">
        <v>1400000109</v>
      </c>
      <c r="K363" t="s">
        <v>0</v>
      </c>
      <c r="L363" s="3">
        <v>4046</v>
      </c>
      <c r="M363" s="3">
        <v>4015</v>
      </c>
      <c r="N363" s="6">
        <v>140000</v>
      </c>
      <c r="O363" s="6">
        <v>1050</v>
      </c>
      <c r="P363">
        <v>-363</v>
      </c>
      <c r="Q363" t="s">
        <v>28</v>
      </c>
    </row>
    <row r="364" spans="1:17" ht="13.95" customHeight="1" outlineLevel="3" x14ac:dyDescent="0.25">
      <c r="A364" t="s">
        <v>1</v>
      </c>
      <c r="B364" s="2">
        <v>39994</v>
      </c>
      <c r="C364" s="2">
        <v>39994</v>
      </c>
      <c r="D364" s="2">
        <v>40039</v>
      </c>
      <c r="E364" s="2"/>
      <c r="F364" t="s">
        <v>2</v>
      </c>
      <c r="G364" s="3">
        <v>45</v>
      </c>
      <c r="H364" s="4">
        <v>28913.19</v>
      </c>
      <c r="I364" t="s">
        <v>3</v>
      </c>
      <c r="J364" s="6">
        <v>1400000108</v>
      </c>
      <c r="K364" t="s">
        <v>0</v>
      </c>
      <c r="L364" s="3">
        <v>4046</v>
      </c>
      <c r="M364" s="3">
        <v>4015</v>
      </c>
      <c r="N364" s="6">
        <v>140000</v>
      </c>
      <c r="O364" s="6">
        <v>1050</v>
      </c>
      <c r="P364">
        <v>-363</v>
      </c>
      <c r="Q364" t="s">
        <v>28</v>
      </c>
    </row>
    <row r="365" spans="1:17" ht="13.95" customHeight="1" outlineLevel="3" x14ac:dyDescent="0.25">
      <c r="A365" t="s">
        <v>1</v>
      </c>
      <c r="B365" s="2">
        <v>39964</v>
      </c>
      <c r="C365" s="2">
        <v>39964</v>
      </c>
      <c r="D365" s="2">
        <v>40009</v>
      </c>
      <c r="E365" s="2"/>
      <c r="F365" t="s">
        <v>2</v>
      </c>
      <c r="G365" s="3">
        <v>45</v>
      </c>
      <c r="H365" s="4">
        <v>16257.3</v>
      </c>
      <c r="I365" t="s">
        <v>3</v>
      </c>
      <c r="J365" s="6">
        <v>1400000094</v>
      </c>
      <c r="K365" t="s">
        <v>0</v>
      </c>
      <c r="L365" s="3">
        <v>4076</v>
      </c>
      <c r="M365" s="3">
        <v>4045</v>
      </c>
      <c r="N365" s="6">
        <v>140000</v>
      </c>
      <c r="O365" s="6">
        <v>1050</v>
      </c>
      <c r="P365">
        <v>0</v>
      </c>
      <c r="Q365" t="s">
        <v>28</v>
      </c>
    </row>
    <row r="366" spans="1:17" ht="13.95" customHeight="1" outlineLevel="3" x14ac:dyDescent="0.25">
      <c r="A366" t="s">
        <v>1</v>
      </c>
      <c r="B366" s="2">
        <v>39964</v>
      </c>
      <c r="C366" s="2">
        <v>39964</v>
      </c>
      <c r="D366" s="2">
        <v>40009</v>
      </c>
      <c r="E366" s="2"/>
      <c r="F366" t="s">
        <v>2</v>
      </c>
      <c r="G366" s="3">
        <v>45</v>
      </c>
      <c r="H366" s="4">
        <v>47458.15</v>
      </c>
      <c r="I366" t="s">
        <v>3</v>
      </c>
      <c r="J366" s="6">
        <v>1400000093</v>
      </c>
      <c r="K366" t="s">
        <v>0</v>
      </c>
      <c r="L366" s="3">
        <v>4076</v>
      </c>
      <c r="M366" s="3">
        <v>4045</v>
      </c>
      <c r="N366" s="6">
        <v>140000</v>
      </c>
      <c r="O366" s="6">
        <v>1050</v>
      </c>
      <c r="P366">
        <v>0</v>
      </c>
      <c r="Q366" t="s">
        <v>28</v>
      </c>
    </row>
    <row r="367" spans="1:17" ht="13.95" customHeight="1" outlineLevel="3" x14ac:dyDescent="0.25">
      <c r="A367" t="s">
        <v>1</v>
      </c>
      <c r="B367" s="2">
        <v>39964</v>
      </c>
      <c r="C367" s="2">
        <v>39964</v>
      </c>
      <c r="D367" s="2">
        <v>40009</v>
      </c>
      <c r="E367" s="2"/>
      <c r="F367" t="s">
        <v>2</v>
      </c>
      <c r="G367" s="3">
        <v>45</v>
      </c>
      <c r="H367" s="4">
        <v>36141.49</v>
      </c>
      <c r="I367" t="s">
        <v>3</v>
      </c>
      <c r="J367" s="6">
        <v>1400000092</v>
      </c>
      <c r="K367" t="s">
        <v>0</v>
      </c>
      <c r="L367" s="3">
        <v>4076</v>
      </c>
      <c r="M367" s="3">
        <v>4045</v>
      </c>
      <c r="N367" s="6">
        <v>140000</v>
      </c>
      <c r="O367" s="6">
        <v>1050</v>
      </c>
      <c r="P367">
        <v>0</v>
      </c>
      <c r="Q367" t="s">
        <v>28</v>
      </c>
    </row>
    <row r="368" spans="1:17" ht="13.95" customHeight="1" outlineLevel="3" x14ac:dyDescent="0.25">
      <c r="A368" t="s">
        <v>1</v>
      </c>
      <c r="B368" s="2">
        <v>39964</v>
      </c>
      <c r="C368" s="2">
        <v>39964</v>
      </c>
      <c r="D368" s="2">
        <v>40009</v>
      </c>
      <c r="E368" s="2"/>
      <c r="F368" t="s">
        <v>2</v>
      </c>
      <c r="G368" s="3">
        <v>45</v>
      </c>
      <c r="H368" s="4">
        <v>20321.63</v>
      </c>
      <c r="I368" t="s">
        <v>3</v>
      </c>
      <c r="J368" s="6">
        <v>1400000091</v>
      </c>
      <c r="K368" t="s">
        <v>0</v>
      </c>
      <c r="L368" s="3">
        <v>4076</v>
      </c>
      <c r="M368" s="3">
        <v>4045</v>
      </c>
      <c r="N368" s="6">
        <v>140000</v>
      </c>
      <c r="O368" s="6">
        <v>1050</v>
      </c>
      <c r="P368">
        <v>16</v>
      </c>
      <c r="Q368" t="s">
        <v>29</v>
      </c>
    </row>
    <row r="369" spans="1:17" ht="13.95" customHeight="1" outlineLevel="3" x14ac:dyDescent="0.25">
      <c r="A369" t="s">
        <v>1</v>
      </c>
      <c r="B369" s="2">
        <v>39964</v>
      </c>
      <c r="C369" s="2">
        <v>39964</v>
      </c>
      <c r="D369" s="2">
        <v>40009</v>
      </c>
      <c r="E369" s="2"/>
      <c r="F369" t="s">
        <v>2</v>
      </c>
      <c r="G369" s="3">
        <v>45</v>
      </c>
      <c r="H369" s="4">
        <v>51413</v>
      </c>
      <c r="I369" t="s">
        <v>3</v>
      </c>
      <c r="J369" s="6">
        <v>1400000090</v>
      </c>
      <c r="K369" t="s">
        <v>0</v>
      </c>
      <c r="L369" s="3">
        <v>4076</v>
      </c>
      <c r="M369" s="3">
        <v>4045</v>
      </c>
      <c r="N369" s="6">
        <v>140000</v>
      </c>
      <c r="O369" s="6">
        <v>1050</v>
      </c>
      <c r="P369">
        <v>16</v>
      </c>
      <c r="Q369" t="s">
        <v>29</v>
      </c>
    </row>
    <row r="370" spans="1:17" ht="13.95" customHeight="1" outlineLevel="3" x14ac:dyDescent="0.25">
      <c r="A370" t="s">
        <v>1</v>
      </c>
      <c r="B370" s="2">
        <v>39964</v>
      </c>
      <c r="C370" s="2">
        <v>39964</v>
      </c>
      <c r="D370" s="2">
        <v>40009</v>
      </c>
      <c r="E370" s="2"/>
      <c r="F370" t="s">
        <v>2</v>
      </c>
      <c r="G370" s="3">
        <v>45</v>
      </c>
      <c r="H370" s="4">
        <v>32527.34</v>
      </c>
      <c r="I370" t="s">
        <v>3</v>
      </c>
      <c r="J370" s="6">
        <v>1400000089</v>
      </c>
      <c r="K370" t="s">
        <v>0</v>
      </c>
      <c r="L370" s="3">
        <v>4076</v>
      </c>
      <c r="M370" s="3">
        <v>4045</v>
      </c>
      <c r="N370" s="6">
        <v>140000</v>
      </c>
      <c r="O370" s="6">
        <v>1050</v>
      </c>
      <c r="P370">
        <v>-294</v>
      </c>
      <c r="Q370" t="s">
        <v>28</v>
      </c>
    </row>
    <row r="371" spans="1:17" ht="13.95" customHeight="1" outlineLevel="3" x14ac:dyDescent="0.25">
      <c r="A371" t="s">
        <v>1</v>
      </c>
      <c r="B371" s="2">
        <v>39933</v>
      </c>
      <c r="C371" s="2">
        <v>39933</v>
      </c>
      <c r="D371" s="2">
        <v>39978</v>
      </c>
      <c r="E371" s="2"/>
      <c r="F371" t="s">
        <v>2</v>
      </c>
      <c r="G371" s="3">
        <v>45</v>
      </c>
      <c r="H371" s="4">
        <v>24385.96</v>
      </c>
      <c r="I371" t="s">
        <v>3</v>
      </c>
      <c r="J371" s="6">
        <v>1400000075</v>
      </c>
      <c r="K371" t="s">
        <v>0</v>
      </c>
      <c r="L371" s="3">
        <v>4107</v>
      </c>
      <c r="M371" s="3">
        <v>4076</v>
      </c>
      <c r="N371" s="6">
        <v>140000</v>
      </c>
      <c r="O371" s="6">
        <v>1050</v>
      </c>
      <c r="P371">
        <v>72</v>
      </c>
      <c r="Q371" t="s">
        <v>29</v>
      </c>
    </row>
    <row r="372" spans="1:17" ht="13.95" customHeight="1" outlineLevel="3" x14ac:dyDescent="0.25">
      <c r="A372" t="s">
        <v>1</v>
      </c>
      <c r="B372" s="2">
        <v>39933</v>
      </c>
      <c r="C372" s="2">
        <v>39933</v>
      </c>
      <c r="D372" s="2">
        <v>39978</v>
      </c>
      <c r="E372" s="2"/>
      <c r="F372" t="s">
        <v>2</v>
      </c>
      <c r="G372" s="3">
        <v>45</v>
      </c>
      <c r="H372" s="4">
        <v>39548.46</v>
      </c>
      <c r="I372" t="s">
        <v>3</v>
      </c>
      <c r="J372" s="6">
        <v>1400000074</v>
      </c>
      <c r="K372" t="s">
        <v>0</v>
      </c>
      <c r="L372" s="3">
        <v>4107</v>
      </c>
      <c r="M372" s="3">
        <v>4076</v>
      </c>
      <c r="N372" s="6">
        <v>140000</v>
      </c>
      <c r="O372" s="6">
        <v>1050</v>
      </c>
      <c r="P372">
        <v>72</v>
      </c>
      <c r="Q372" t="s">
        <v>29</v>
      </c>
    </row>
    <row r="373" spans="1:17" ht="13.95" customHeight="1" outlineLevel="3" x14ac:dyDescent="0.25">
      <c r="A373" t="s">
        <v>1</v>
      </c>
      <c r="B373" s="2">
        <v>39933</v>
      </c>
      <c r="C373" s="2">
        <v>39933</v>
      </c>
      <c r="D373" s="2">
        <v>39978</v>
      </c>
      <c r="E373" s="2"/>
      <c r="F373" t="s">
        <v>2</v>
      </c>
      <c r="G373" s="3">
        <v>45</v>
      </c>
      <c r="H373" s="4">
        <v>46983.94</v>
      </c>
      <c r="I373" t="s">
        <v>3</v>
      </c>
      <c r="J373" s="6">
        <v>1400000073</v>
      </c>
      <c r="K373" t="s">
        <v>0</v>
      </c>
      <c r="L373" s="3">
        <v>4107</v>
      </c>
      <c r="M373" s="3">
        <v>4076</v>
      </c>
      <c r="N373" s="6">
        <v>140000</v>
      </c>
      <c r="O373" s="6">
        <v>1050</v>
      </c>
      <c r="P373">
        <v>77</v>
      </c>
      <c r="Q373" t="s">
        <v>29</v>
      </c>
    </row>
    <row r="374" spans="1:17" ht="13.95" customHeight="1" outlineLevel="3" x14ac:dyDescent="0.25">
      <c r="A374" t="s">
        <v>1</v>
      </c>
      <c r="B374" s="2">
        <v>39933</v>
      </c>
      <c r="C374" s="2">
        <v>39933</v>
      </c>
      <c r="D374" s="2">
        <v>39978</v>
      </c>
      <c r="E374" s="2"/>
      <c r="F374" t="s">
        <v>2</v>
      </c>
      <c r="G374" s="3">
        <v>45</v>
      </c>
      <c r="H374" s="4">
        <v>20321.63</v>
      </c>
      <c r="I374" t="s">
        <v>3</v>
      </c>
      <c r="J374" s="6">
        <v>1400000072</v>
      </c>
      <c r="K374" t="s">
        <v>0</v>
      </c>
      <c r="L374" s="3">
        <v>4107</v>
      </c>
      <c r="M374" s="3">
        <v>4076</v>
      </c>
      <c r="N374" s="6">
        <v>140000</v>
      </c>
      <c r="O374" s="6">
        <v>1050</v>
      </c>
      <c r="P374">
        <v>77</v>
      </c>
      <c r="Q374" t="s">
        <v>29</v>
      </c>
    </row>
    <row r="375" spans="1:17" ht="13.95" customHeight="1" outlineLevel="3" x14ac:dyDescent="0.25">
      <c r="A375" t="s">
        <v>1</v>
      </c>
      <c r="B375" s="2">
        <v>39933</v>
      </c>
      <c r="C375" s="2">
        <v>39933</v>
      </c>
      <c r="D375" s="2">
        <v>39978</v>
      </c>
      <c r="E375" s="2"/>
      <c r="F375" t="s">
        <v>2</v>
      </c>
      <c r="G375" s="3">
        <v>45</v>
      </c>
      <c r="H375" s="4">
        <v>43503.31</v>
      </c>
      <c r="I375" t="s">
        <v>3</v>
      </c>
      <c r="J375" s="6">
        <v>1400000071</v>
      </c>
      <c r="K375" t="s">
        <v>0</v>
      </c>
      <c r="L375" s="3">
        <v>4107</v>
      </c>
      <c r="M375" s="3">
        <v>4076</v>
      </c>
      <c r="N375" s="6">
        <v>140000</v>
      </c>
      <c r="O375" s="6">
        <v>1050</v>
      </c>
      <c r="P375">
        <v>77</v>
      </c>
      <c r="Q375" t="s">
        <v>29</v>
      </c>
    </row>
    <row r="376" spans="1:17" ht="13.95" customHeight="1" outlineLevel="3" x14ac:dyDescent="0.25">
      <c r="A376" t="s">
        <v>1</v>
      </c>
      <c r="B376" s="2">
        <v>39933</v>
      </c>
      <c r="C376" s="2">
        <v>39933</v>
      </c>
      <c r="D376" s="2">
        <v>39978</v>
      </c>
      <c r="E376" s="2"/>
      <c r="F376" t="s">
        <v>2</v>
      </c>
      <c r="G376" s="3">
        <v>45</v>
      </c>
      <c r="H376" s="4">
        <v>39755.64</v>
      </c>
      <c r="I376" t="s">
        <v>3</v>
      </c>
      <c r="J376" s="6">
        <v>1400000070</v>
      </c>
      <c r="K376" t="s">
        <v>0</v>
      </c>
      <c r="L376" s="3">
        <v>4107</v>
      </c>
      <c r="M376" s="3">
        <v>4076</v>
      </c>
      <c r="N376" s="6">
        <v>140000</v>
      </c>
      <c r="O376" s="6">
        <v>1050</v>
      </c>
      <c r="P376">
        <v>77</v>
      </c>
      <c r="Q376" t="s">
        <v>29</v>
      </c>
    </row>
    <row r="377" spans="1:17" ht="13.95" customHeight="1" outlineLevel="3" x14ac:dyDescent="0.25">
      <c r="A377" t="s">
        <v>1</v>
      </c>
      <c r="B377" s="2">
        <v>39903</v>
      </c>
      <c r="C377" s="2">
        <v>39903</v>
      </c>
      <c r="D377" s="2">
        <v>39948</v>
      </c>
      <c r="E377" s="2"/>
      <c r="F377" t="s">
        <v>2</v>
      </c>
      <c r="G377" s="3">
        <v>45</v>
      </c>
      <c r="H377" s="4">
        <v>32514.61</v>
      </c>
      <c r="I377" t="s">
        <v>3</v>
      </c>
      <c r="J377" s="6">
        <v>1400000056</v>
      </c>
      <c r="K377" t="s">
        <v>0</v>
      </c>
      <c r="L377" s="3">
        <v>4137</v>
      </c>
      <c r="M377" s="3">
        <v>4106</v>
      </c>
      <c r="N377" s="6">
        <v>140000</v>
      </c>
      <c r="O377" s="6">
        <v>1050</v>
      </c>
      <c r="P377">
        <v>134</v>
      </c>
      <c r="Q377" t="s">
        <v>30</v>
      </c>
    </row>
    <row r="378" spans="1:17" ht="13.95" customHeight="1" outlineLevel="3" x14ac:dyDescent="0.25">
      <c r="A378" t="s">
        <v>1</v>
      </c>
      <c r="B378" s="2">
        <v>40025</v>
      </c>
      <c r="C378" s="2">
        <v>40025</v>
      </c>
      <c r="D378" s="2">
        <v>40070</v>
      </c>
      <c r="E378" s="2"/>
      <c r="F378" t="s">
        <v>2</v>
      </c>
      <c r="G378" s="3">
        <v>45</v>
      </c>
      <c r="H378" s="4">
        <v>21684.89</v>
      </c>
      <c r="I378" t="s">
        <v>3</v>
      </c>
      <c r="J378" s="6">
        <v>1400000130</v>
      </c>
      <c r="K378" t="s">
        <v>0</v>
      </c>
      <c r="L378" s="3">
        <v>4015</v>
      </c>
      <c r="M378" s="3">
        <v>3984</v>
      </c>
      <c r="N378" s="6">
        <v>140000</v>
      </c>
      <c r="O378" s="6">
        <v>1050</v>
      </c>
      <c r="P378">
        <v>499</v>
      </c>
      <c r="Q378" t="s">
        <v>32</v>
      </c>
    </row>
    <row r="379" spans="1:17" ht="13.95" customHeight="1" outlineLevel="3" x14ac:dyDescent="0.25">
      <c r="A379" t="s">
        <v>1</v>
      </c>
      <c r="B379" s="2">
        <v>40147</v>
      </c>
      <c r="C379" s="2">
        <v>40147</v>
      </c>
      <c r="D379" s="2">
        <v>40192</v>
      </c>
      <c r="E379" s="2"/>
      <c r="F379" t="s">
        <v>2</v>
      </c>
      <c r="G379" s="3">
        <v>45</v>
      </c>
      <c r="H379" s="4">
        <v>35593.61</v>
      </c>
      <c r="I379" t="s">
        <v>3</v>
      </c>
      <c r="J379" s="6">
        <v>1400000174</v>
      </c>
      <c r="K379" t="s">
        <v>0</v>
      </c>
      <c r="L379" s="3">
        <v>3893</v>
      </c>
      <c r="M379" s="3">
        <v>3862</v>
      </c>
      <c r="N379" s="6">
        <v>140000</v>
      </c>
      <c r="O379" s="6">
        <v>1050</v>
      </c>
      <c r="P379">
        <v>716</v>
      </c>
      <c r="Q379" t="s">
        <v>32</v>
      </c>
    </row>
    <row r="380" spans="1:17" ht="13.95" customHeight="1" outlineLevel="3" x14ac:dyDescent="0.25">
      <c r="A380" t="s">
        <v>1</v>
      </c>
      <c r="B380" s="2">
        <v>40147</v>
      </c>
      <c r="C380" s="2">
        <v>40147</v>
      </c>
      <c r="D380" s="2">
        <v>40192</v>
      </c>
      <c r="E380" s="2"/>
      <c r="F380" t="s">
        <v>2</v>
      </c>
      <c r="G380" s="3">
        <v>45</v>
      </c>
      <c r="H380" s="4">
        <v>28913.19</v>
      </c>
      <c r="I380" t="s">
        <v>3</v>
      </c>
      <c r="J380" s="6">
        <v>1400000173</v>
      </c>
      <c r="K380" t="s">
        <v>0</v>
      </c>
      <c r="L380" s="3">
        <v>3893</v>
      </c>
      <c r="M380" s="3">
        <v>3862</v>
      </c>
      <c r="N380" s="6">
        <v>140000</v>
      </c>
      <c r="O380" s="6">
        <v>1050</v>
      </c>
      <c r="P380">
        <v>716</v>
      </c>
      <c r="Q380" t="s">
        <v>32</v>
      </c>
    </row>
    <row r="381" spans="1:17" ht="13.95" customHeight="1" outlineLevel="3" x14ac:dyDescent="0.25">
      <c r="A381" t="s">
        <v>1</v>
      </c>
      <c r="B381" s="2">
        <v>40117</v>
      </c>
      <c r="C381" s="2">
        <v>40117</v>
      </c>
      <c r="D381" s="2">
        <v>40162</v>
      </c>
      <c r="E381" s="2"/>
      <c r="F381" t="s">
        <v>2</v>
      </c>
      <c r="G381" s="3">
        <v>45</v>
      </c>
      <c r="H381" s="4">
        <v>52836.24</v>
      </c>
      <c r="I381" t="s">
        <v>3</v>
      </c>
      <c r="J381" s="6">
        <v>1400000169</v>
      </c>
      <c r="K381" t="s">
        <v>0</v>
      </c>
      <c r="L381" s="3">
        <v>3923</v>
      </c>
      <c r="M381" s="3">
        <v>3892</v>
      </c>
      <c r="N381" s="6">
        <v>140000</v>
      </c>
      <c r="O381" s="6">
        <v>1050</v>
      </c>
      <c r="P381">
        <v>-45</v>
      </c>
      <c r="Q381" t="s">
        <v>28</v>
      </c>
    </row>
    <row r="382" spans="1:17" ht="13.95" customHeight="1" outlineLevel="3" x14ac:dyDescent="0.25">
      <c r="A382" t="s">
        <v>1</v>
      </c>
      <c r="B382" s="2">
        <v>40117</v>
      </c>
      <c r="C382" s="2">
        <v>40117</v>
      </c>
      <c r="D382" s="2">
        <v>40162</v>
      </c>
      <c r="E382" s="2"/>
      <c r="F382" t="s">
        <v>2</v>
      </c>
      <c r="G382" s="3">
        <v>45</v>
      </c>
      <c r="H382" s="4">
        <v>39548.46</v>
      </c>
      <c r="I382" t="s">
        <v>3</v>
      </c>
      <c r="J382" s="6">
        <v>1400000168</v>
      </c>
      <c r="K382" t="s">
        <v>0</v>
      </c>
      <c r="L382" s="3">
        <v>3923</v>
      </c>
      <c r="M382" s="3">
        <v>3892</v>
      </c>
      <c r="N382" s="6">
        <v>140000</v>
      </c>
      <c r="O382" s="6">
        <v>1050</v>
      </c>
      <c r="P382">
        <v>-45</v>
      </c>
      <c r="Q382" t="s">
        <v>28</v>
      </c>
    </row>
    <row r="383" spans="1:17" ht="13.95" customHeight="1" outlineLevel="3" x14ac:dyDescent="0.25">
      <c r="A383" t="s">
        <v>1</v>
      </c>
      <c r="B383" s="2">
        <v>40117</v>
      </c>
      <c r="C383" s="2">
        <v>40117</v>
      </c>
      <c r="D383" s="2">
        <v>40162</v>
      </c>
      <c r="E383" s="2"/>
      <c r="F383" t="s">
        <v>2</v>
      </c>
      <c r="G383" s="3">
        <v>45</v>
      </c>
      <c r="H383" s="4">
        <v>25299.040000000001</v>
      </c>
      <c r="I383" t="s">
        <v>3</v>
      </c>
      <c r="J383" s="6">
        <v>1400000167</v>
      </c>
      <c r="K383" t="s">
        <v>0</v>
      </c>
      <c r="L383" s="3">
        <v>3923</v>
      </c>
      <c r="M383" s="3">
        <v>3892</v>
      </c>
      <c r="N383" s="6">
        <v>140000</v>
      </c>
      <c r="O383" s="6">
        <v>1050</v>
      </c>
      <c r="P383">
        <v>-45</v>
      </c>
      <c r="Q383" t="s">
        <v>28</v>
      </c>
    </row>
    <row r="384" spans="1:17" ht="13.95" customHeight="1" outlineLevel="3" x14ac:dyDescent="0.25">
      <c r="A384" t="s">
        <v>1</v>
      </c>
      <c r="B384" s="2">
        <v>40117</v>
      </c>
      <c r="C384" s="2">
        <v>40117</v>
      </c>
      <c r="D384" s="2">
        <v>40162</v>
      </c>
      <c r="E384" s="2"/>
      <c r="F384" t="s">
        <v>2</v>
      </c>
      <c r="G384" s="3">
        <v>45</v>
      </c>
      <c r="H384" s="4">
        <v>56900.56</v>
      </c>
      <c r="I384" t="s">
        <v>3</v>
      </c>
      <c r="J384" s="6">
        <v>1400000166</v>
      </c>
      <c r="K384" t="s">
        <v>0</v>
      </c>
      <c r="L384" s="3">
        <v>3923</v>
      </c>
      <c r="M384" s="3">
        <v>3892</v>
      </c>
      <c r="N384" s="6">
        <v>140000</v>
      </c>
      <c r="O384" s="6">
        <v>1050</v>
      </c>
      <c r="P384">
        <v>-45</v>
      </c>
      <c r="Q384" t="s">
        <v>28</v>
      </c>
    </row>
    <row r="385" spans="1:17" ht="13.95" customHeight="1" outlineLevel="3" x14ac:dyDescent="0.25">
      <c r="A385" t="s">
        <v>1</v>
      </c>
      <c r="B385" s="2">
        <v>40117</v>
      </c>
      <c r="C385" s="2">
        <v>40117</v>
      </c>
      <c r="D385" s="2">
        <v>40162</v>
      </c>
      <c r="E385" s="2"/>
      <c r="F385" t="s">
        <v>2</v>
      </c>
      <c r="G385" s="3">
        <v>45</v>
      </c>
      <c r="H385" s="4">
        <v>43503.31</v>
      </c>
      <c r="I385" t="s">
        <v>3</v>
      </c>
      <c r="J385" s="6">
        <v>1400000165</v>
      </c>
      <c r="K385" t="s">
        <v>0</v>
      </c>
      <c r="L385" s="3">
        <v>3923</v>
      </c>
      <c r="M385" s="3">
        <v>3892</v>
      </c>
      <c r="N385" s="6">
        <v>140000</v>
      </c>
      <c r="O385" s="6">
        <v>1050</v>
      </c>
      <c r="P385">
        <v>-45</v>
      </c>
      <c r="Q385" t="s">
        <v>28</v>
      </c>
    </row>
    <row r="386" spans="1:17" ht="13.95" customHeight="1" outlineLevel="3" x14ac:dyDescent="0.25">
      <c r="A386" t="s">
        <v>1</v>
      </c>
      <c r="B386" s="2">
        <v>40117</v>
      </c>
      <c r="C386" s="2">
        <v>40117</v>
      </c>
      <c r="D386" s="2">
        <v>40162</v>
      </c>
      <c r="E386" s="2"/>
      <c r="F386" t="s">
        <v>2</v>
      </c>
      <c r="G386" s="3">
        <v>45</v>
      </c>
      <c r="H386" s="4">
        <v>21684.89</v>
      </c>
      <c r="I386" t="s">
        <v>3</v>
      </c>
      <c r="J386" s="6">
        <v>1400000164</v>
      </c>
      <c r="K386" t="s">
        <v>0</v>
      </c>
      <c r="L386" s="3">
        <v>3923</v>
      </c>
      <c r="M386" s="3">
        <v>3892</v>
      </c>
      <c r="N386" s="6">
        <v>140000</v>
      </c>
      <c r="O386" s="6">
        <v>1050</v>
      </c>
      <c r="P386">
        <v>-45</v>
      </c>
      <c r="Q386" t="s">
        <v>28</v>
      </c>
    </row>
    <row r="387" spans="1:17" ht="13.95" customHeight="1" outlineLevel="3" x14ac:dyDescent="0.25">
      <c r="A387" t="s">
        <v>1</v>
      </c>
      <c r="B387" s="2">
        <v>40086</v>
      </c>
      <c r="C387" s="2">
        <v>40086</v>
      </c>
      <c r="D387" s="2">
        <v>40131</v>
      </c>
      <c r="E387" s="2"/>
      <c r="F387" t="s">
        <v>2</v>
      </c>
      <c r="G387" s="3">
        <v>45</v>
      </c>
      <c r="H387" s="4">
        <v>48771.91</v>
      </c>
      <c r="I387" t="s">
        <v>3</v>
      </c>
      <c r="J387" s="6">
        <v>1400000160</v>
      </c>
      <c r="K387" t="s">
        <v>0</v>
      </c>
      <c r="L387" s="3">
        <v>3954</v>
      </c>
      <c r="M387" s="3">
        <v>3923</v>
      </c>
      <c r="N387" s="6">
        <v>140000</v>
      </c>
      <c r="O387" s="6">
        <v>1050</v>
      </c>
      <c r="P387">
        <v>777</v>
      </c>
      <c r="Q387" t="s">
        <v>32</v>
      </c>
    </row>
    <row r="388" spans="1:17" ht="13.95" customHeight="1" outlineLevel="3" x14ac:dyDescent="0.25">
      <c r="A388" t="s">
        <v>1</v>
      </c>
      <c r="B388" s="2">
        <v>40086</v>
      </c>
      <c r="C388" s="2">
        <v>40086</v>
      </c>
      <c r="D388" s="2">
        <v>40131</v>
      </c>
      <c r="E388" s="2"/>
      <c r="F388" t="s">
        <v>2</v>
      </c>
      <c r="G388" s="3">
        <v>45</v>
      </c>
      <c r="H388" s="4">
        <v>55367.839999999997</v>
      </c>
      <c r="I388" t="s">
        <v>3</v>
      </c>
      <c r="J388" s="6">
        <v>1400000159</v>
      </c>
      <c r="K388" t="s">
        <v>0</v>
      </c>
      <c r="L388" s="3">
        <v>3954</v>
      </c>
      <c r="M388" s="3">
        <v>3923</v>
      </c>
      <c r="N388" s="6">
        <v>140000</v>
      </c>
      <c r="O388" s="6">
        <v>1050</v>
      </c>
      <c r="P388">
        <v>777</v>
      </c>
      <c r="Q388" t="s">
        <v>32</v>
      </c>
    </row>
    <row r="389" spans="1:17" ht="13.95" customHeight="1" outlineLevel="3" x14ac:dyDescent="0.25">
      <c r="A389" t="s">
        <v>1</v>
      </c>
      <c r="B389" s="2">
        <v>40086</v>
      </c>
      <c r="C389" s="2">
        <v>40086</v>
      </c>
      <c r="D389" s="2">
        <v>40131</v>
      </c>
      <c r="E389" s="2"/>
      <c r="F389" t="s">
        <v>2</v>
      </c>
      <c r="G389" s="3">
        <v>45</v>
      </c>
      <c r="H389" s="4">
        <v>18070.75</v>
      </c>
      <c r="I389" t="s">
        <v>3</v>
      </c>
      <c r="J389" s="6">
        <v>1400000158</v>
      </c>
      <c r="K389" t="s">
        <v>0</v>
      </c>
      <c r="L389" s="3">
        <v>3954</v>
      </c>
      <c r="M389" s="3">
        <v>3923</v>
      </c>
      <c r="N389" s="6">
        <v>140000</v>
      </c>
      <c r="O389" s="6">
        <v>1050</v>
      </c>
      <c r="P389">
        <v>777</v>
      </c>
      <c r="Q389" t="s">
        <v>32</v>
      </c>
    </row>
    <row r="390" spans="1:17" ht="13.95" customHeight="1" outlineLevel="3" x14ac:dyDescent="0.25">
      <c r="A390" t="s">
        <v>1</v>
      </c>
      <c r="B390" s="2">
        <v>40086</v>
      </c>
      <c r="C390" s="2">
        <v>40086</v>
      </c>
      <c r="D390" s="2">
        <v>40131</v>
      </c>
      <c r="E390" s="2"/>
      <c r="F390" t="s">
        <v>2</v>
      </c>
      <c r="G390" s="3">
        <v>45</v>
      </c>
      <c r="H390" s="4">
        <v>44707.59</v>
      </c>
      <c r="I390" t="s">
        <v>3</v>
      </c>
      <c r="J390" s="6">
        <v>1400000157</v>
      </c>
      <c r="K390" t="s">
        <v>0</v>
      </c>
      <c r="L390" s="3">
        <v>3954</v>
      </c>
      <c r="M390" s="3">
        <v>3923</v>
      </c>
      <c r="N390" s="6">
        <v>140000</v>
      </c>
      <c r="O390" s="6">
        <v>1050</v>
      </c>
      <c r="P390">
        <v>777</v>
      </c>
      <c r="Q390" t="s">
        <v>32</v>
      </c>
    </row>
    <row r="391" spans="1:17" ht="13.95" customHeight="1" outlineLevel="3" x14ac:dyDescent="0.25">
      <c r="A391" t="s">
        <v>1</v>
      </c>
      <c r="B391" s="2">
        <v>40086</v>
      </c>
      <c r="C391" s="2">
        <v>40086</v>
      </c>
      <c r="D391" s="2">
        <v>40131</v>
      </c>
      <c r="E391" s="2"/>
      <c r="F391" t="s">
        <v>2</v>
      </c>
      <c r="G391" s="3">
        <v>45</v>
      </c>
      <c r="H391" s="4">
        <v>47458.15</v>
      </c>
      <c r="I391" t="s">
        <v>3</v>
      </c>
      <c r="J391" s="6">
        <v>1400000156</v>
      </c>
      <c r="K391" t="s">
        <v>0</v>
      </c>
      <c r="L391" s="3">
        <v>3954</v>
      </c>
      <c r="M391" s="3">
        <v>3923</v>
      </c>
      <c r="N391" s="6">
        <v>140000</v>
      </c>
      <c r="O391" s="6">
        <v>1050</v>
      </c>
      <c r="P391">
        <v>777</v>
      </c>
      <c r="Q391" t="s">
        <v>32</v>
      </c>
    </row>
    <row r="392" spans="1:17" ht="13.95" customHeight="1" outlineLevel="3" x14ac:dyDescent="0.25">
      <c r="A392" t="s">
        <v>1</v>
      </c>
      <c r="B392" s="2">
        <v>40086</v>
      </c>
      <c r="C392" s="2">
        <v>40086</v>
      </c>
      <c r="D392" s="2">
        <v>40131</v>
      </c>
      <c r="E392" s="2"/>
      <c r="F392" t="s">
        <v>2</v>
      </c>
      <c r="G392" s="3">
        <v>45</v>
      </c>
      <c r="H392" s="4">
        <v>18070.75</v>
      </c>
      <c r="I392" t="s">
        <v>3</v>
      </c>
      <c r="J392" s="6">
        <v>1400000155</v>
      </c>
      <c r="K392" t="s">
        <v>0</v>
      </c>
      <c r="L392" s="3">
        <v>3954</v>
      </c>
      <c r="M392" s="3">
        <v>3923</v>
      </c>
      <c r="N392" s="6">
        <v>140000</v>
      </c>
      <c r="O392" s="6">
        <v>1050</v>
      </c>
      <c r="P392">
        <v>777</v>
      </c>
      <c r="Q392" t="s">
        <v>32</v>
      </c>
    </row>
    <row r="393" spans="1:17" ht="13.95" customHeight="1" outlineLevel="3" x14ac:dyDescent="0.25">
      <c r="A393" t="s">
        <v>1</v>
      </c>
      <c r="B393" s="2">
        <v>40056</v>
      </c>
      <c r="C393" s="2">
        <v>40056</v>
      </c>
      <c r="D393" s="2">
        <v>40101</v>
      </c>
      <c r="E393" s="2"/>
      <c r="F393" t="s">
        <v>2</v>
      </c>
      <c r="G393" s="3">
        <v>45</v>
      </c>
      <c r="H393" s="4">
        <v>36578.93</v>
      </c>
      <c r="I393" t="s">
        <v>3</v>
      </c>
      <c r="J393" s="6">
        <v>1400000151</v>
      </c>
      <c r="K393" t="s">
        <v>0</v>
      </c>
      <c r="L393" s="3">
        <v>3984</v>
      </c>
      <c r="M393" s="3">
        <v>3953</v>
      </c>
      <c r="N393" s="6">
        <v>140000</v>
      </c>
      <c r="O393" s="6">
        <v>1050</v>
      </c>
      <c r="P393">
        <v>807</v>
      </c>
      <c r="Q393" t="s">
        <v>32</v>
      </c>
    </row>
    <row r="394" spans="1:17" ht="13.95" customHeight="1" outlineLevel="3" x14ac:dyDescent="0.25">
      <c r="A394" t="s">
        <v>1</v>
      </c>
      <c r="B394" s="2">
        <v>40056</v>
      </c>
      <c r="C394" s="2">
        <v>40056</v>
      </c>
      <c r="D394" s="2">
        <v>40101</v>
      </c>
      <c r="E394" s="2"/>
      <c r="F394" t="s">
        <v>2</v>
      </c>
      <c r="G394" s="3">
        <v>45</v>
      </c>
      <c r="H394" s="4">
        <v>63277.54</v>
      </c>
      <c r="I394" t="s">
        <v>3</v>
      </c>
      <c r="J394" s="6">
        <v>1400000150</v>
      </c>
      <c r="K394" t="s">
        <v>0</v>
      </c>
      <c r="L394" s="3">
        <v>3984</v>
      </c>
      <c r="M394" s="3">
        <v>3953</v>
      </c>
      <c r="N394" s="6">
        <v>140000</v>
      </c>
      <c r="O394" s="6">
        <v>1050</v>
      </c>
      <c r="P394">
        <v>807</v>
      </c>
      <c r="Q394" t="s">
        <v>32</v>
      </c>
    </row>
    <row r="395" spans="1:17" ht="13.95" customHeight="1" outlineLevel="3" x14ac:dyDescent="0.25">
      <c r="A395" t="s">
        <v>1</v>
      </c>
      <c r="B395" s="2">
        <v>40056</v>
      </c>
      <c r="C395" s="2">
        <v>40056</v>
      </c>
      <c r="D395" s="2">
        <v>40101</v>
      </c>
      <c r="E395" s="2"/>
      <c r="F395" t="s">
        <v>2</v>
      </c>
      <c r="G395" s="3">
        <v>45</v>
      </c>
      <c r="H395" s="4">
        <v>21684.89</v>
      </c>
      <c r="I395" t="s">
        <v>3</v>
      </c>
      <c r="J395" s="6">
        <v>1400000149</v>
      </c>
      <c r="K395" t="s">
        <v>0</v>
      </c>
      <c r="L395" s="3">
        <v>3984</v>
      </c>
      <c r="M395" s="3">
        <v>3953</v>
      </c>
      <c r="N395" s="6">
        <v>140000</v>
      </c>
      <c r="O395" s="6">
        <v>1050</v>
      </c>
      <c r="P395">
        <v>807</v>
      </c>
      <c r="Q395" t="s">
        <v>32</v>
      </c>
    </row>
    <row r="396" spans="1:17" ht="13.95" customHeight="1" outlineLevel="3" x14ac:dyDescent="0.25">
      <c r="A396" t="s">
        <v>1</v>
      </c>
      <c r="B396" s="2">
        <v>40056</v>
      </c>
      <c r="C396" s="2">
        <v>40056</v>
      </c>
      <c r="D396" s="2">
        <v>40101</v>
      </c>
      <c r="E396" s="2"/>
      <c r="F396" t="s">
        <v>2</v>
      </c>
      <c r="G396" s="3">
        <v>45</v>
      </c>
      <c r="H396" s="4">
        <v>40643.26</v>
      </c>
      <c r="I396" t="s">
        <v>3</v>
      </c>
      <c r="J396" s="6">
        <v>1400000148</v>
      </c>
      <c r="K396" t="s">
        <v>0</v>
      </c>
      <c r="L396" s="3">
        <v>3984</v>
      </c>
      <c r="M396" s="3">
        <v>3953</v>
      </c>
      <c r="N396" s="6">
        <v>140000</v>
      </c>
      <c r="O396" s="6">
        <v>1050</v>
      </c>
      <c r="P396">
        <v>807</v>
      </c>
      <c r="Q396" t="s">
        <v>32</v>
      </c>
    </row>
    <row r="397" spans="1:17" ht="13.95" customHeight="1" outlineLevel="3" x14ac:dyDescent="0.25">
      <c r="A397" t="s">
        <v>1</v>
      </c>
      <c r="B397" s="2">
        <v>40056</v>
      </c>
      <c r="C397" s="2">
        <v>40056</v>
      </c>
      <c r="D397" s="2">
        <v>40101</v>
      </c>
      <c r="E397" s="2"/>
      <c r="F397" t="s">
        <v>2</v>
      </c>
      <c r="G397" s="3">
        <v>45</v>
      </c>
      <c r="H397" s="4">
        <v>51413</v>
      </c>
      <c r="I397" t="s">
        <v>3</v>
      </c>
      <c r="J397" s="6">
        <v>1400000147</v>
      </c>
      <c r="K397" t="s">
        <v>0</v>
      </c>
      <c r="L397" s="3">
        <v>3984</v>
      </c>
      <c r="M397" s="3">
        <v>3953</v>
      </c>
      <c r="N397" s="6">
        <v>140000</v>
      </c>
      <c r="O397" s="6">
        <v>1050</v>
      </c>
      <c r="P397">
        <v>807</v>
      </c>
      <c r="Q397" t="s">
        <v>32</v>
      </c>
    </row>
    <row r="398" spans="1:17" ht="13.95" customHeight="1" outlineLevel="3" x14ac:dyDescent="0.25">
      <c r="A398" t="s">
        <v>1</v>
      </c>
      <c r="B398" s="2">
        <v>40056</v>
      </c>
      <c r="C398" s="2">
        <v>40056</v>
      </c>
      <c r="D398" s="2">
        <v>40101</v>
      </c>
      <c r="E398" s="2"/>
      <c r="F398" t="s">
        <v>2</v>
      </c>
      <c r="G398" s="3">
        <v>45</v>
      </c>
      <c r="H398" s="4">
        <v>14456.6</v>
      </c>
      <c r="I398" t="s">
        <v>3</v>
      </c>
      <c r="J398" s="6">
        <v>1400000146</v>
      </c>
      <c r="K398" t="s">
        <v>0</v>
      </c>
      <c r="L398" s="3">
        <v>3984</v>
      </c>
      <c r="M398" s="3">
        <v>3953</v>
      </c>
      <c r="N398" s="6">
        <v>140000</v>
      </c>
      <c r="O398" s="6">
        <v>1050</v>
      </c>
      <c r="P398">
        <v>807</v>
      </c>
      <c r="Q398" t="s">
        <v>32</v>
      </c>
    </row>
    <row r="399" spans="1:17" ht="13.95" customHeight="1" outlineLevel="3" x14ac:dyDescent="0.25">
      <c r="A399" t="s">
        <v>1</v>
      </c>
      <c r="B399" s="2">
        <v>40025</v>
      </c>
      <c r="C399" s="2">
        <v>40025</v>
      </c>
      <c r="D399" s="2">
        <v>40070</v>
      </c>
      <c r="E399" s="2"/>
      <c r="F399" t="s">
        <v>2</v>
      </c>
      <c r="G399" s="3">
        <v>45</v>
      </c>
      <c r="H399" s="4">
        <v>24385.96</v>
      </c>
      <c r="I399" t="s">
        <v>3</v>
      </c>
      <c r="J399" s="6">
        <v>1400000132</v>
      </c>
      <c r="K399" t="s">
        <v>0</v>
      </c>
      <c r="L399" s="3">
        <v>4015</v>
      </c>
      <c r="M399" s="3">
        <v>3984</v>
      </c>
      <c r="N399" s="6">
        <v>140000</v>
      </c>
      <c r="O399" s="6">
        <v>1050</v>
      </c>
      <c r="P399">
        <v>838</v>
      </c>
      <c r="Q399" t="s">
        <v>32</v>
      </c>
    </row>
    <row r="400" spans="1:17" ht="13.95" customHeight="1" outlineLevel="3" x14ac:dyDescent="0.25">
      <c r="A400" t="s">
        <v>1</v>
      </c>
      <c r="B400" s="2">
        <v>40025</v>
      </c>
      <c r="C400" s="2">
        <v>40025</v>
      </c>
      <c r="D400" s="2">
        <v>40070</v>
      </c>
      <c r="E400" s="2"/>
      <c r="F400" t="s">
        <v>2</v>
      </c>
      <c r="G400" s="3">
        <v>45</v>
      </c>
      <c r="H400" s="4">
        <v>67232.38</v>
      </c>
      <c r="I400" t="s">
        <v>3</v>
      </c>
      <c r="J400" s="6">
        <v>1400000131</v>
      </c>
      <c r="K400" t="s">
        <v>0</v>
      </c>
      <c r="L400" s="3">
        <v>4015</v>
      </c>
      <c r="M400" s="3">
        <v>3984</v>
      </c>
      <c r="N400" s="6">
        <v>140000</v>
      </c>
      <c r="O400" s="6">
        <v>1050</v>
      </c>
      <c r="P400">
        <v>838</v>
      </c>
      <c r="Q400" t="s">
        <v>32</v>
      </c>
    </row>
    <row r="401" spans="1:17" ht="13.95" customHeight="1" outlineLevel="3" x14ac:dyDescent="0.25">
      <c r="A401" t="s">
        <v>1</v>
      </c>
      <c r="B401" s="2">
        <v>39782</v>
      </c>
      <c r="C401" s="2">
        <v>39782</v>
      </c>
      <c r="D401" s="2">
        <v>39827</v>
      </c>
      <c r="E401" s="2"/>
      <c r="F401" t="s">
        <v>2</v>
      </c>
      <c r="G401" s="3">
        <v>45</v>
      </c>
      <c r="H401" s="4">
        <v>48771.91</v>
      </c>
      <c r="I401" t="s">
        <v>3</v>
      </c>
      <c r="J401" s="6">
        <v>1400000217</v>
      </c>
      <c r="K401" t="s">
        <v>0</v>
      </c>
      <c r="L401" s="3">
        <v>4258</v>
      </c>
      <c r="M401" s="3">
        <v>4227</v>
      </c>
      <c r="N401" s="6">
        <v>140000</v>
      </c>
      <c r="O401" s="6">
        <v>1050</v>
      </c>
      <c r="P401">
        <v>1081</v>
      </c>
      <c r="Q401" t="s">
        <v>32</v>
      </c>
    </row>
    <row r="402" spans="1:17" ht="13.95" customHeight="1" outlineLevel="3" x14ac:dyDescent="0.25">
      <c r="A402" t="s">
        <v>1</v>
      </c>
      <c r="B402" s="2">
        <v>39782</v>
      </c>
      <c r="C402" s="2">
        <v>39782</v>
      </c>
      <c r="D402" s="2">
        <v>39827</v>
      </c>
      <c r="E402" s="2"/>
      <c r="F402" t="s">
        <v>2</v>
      </c>
      <c r="G402" s="3">
        <v>45</v>
      </c>
      <c r="H402" s="4">
        <v>31638.77</v>
      </c>
      <c r="I402" t="s">
        <v>3</v>
      </c>
      <c r="J402" s="6">
        <v>1400000216</v>
      </c>
      <c r="K402" t="s">
        <v>0</v>
      </c>
      <c r="L402" s="3">
        <v>4258</v>
      </c>
      <c r="M402" s="3">
        <v>4227</v>
      </c>
      <c r="N402" s="6">
        <v>140000</v>
      </c>
      <c r="O402" s="6">
        <v>1050</v>
      </c>
      <c r="P402">
        <v>1081</v>
      </c>
      <c r="Q402" t="s">
        <v>32</v>
      </c>
    </row>
    <row r="403" spans="1:17" ht="13.95" customHeight="1" outlineLevel="3" x14ac:dyDescent="0.25">
      <c r="A403" t="s">
        <v>1</v>
      </c>
      <c r="B403" s="2">
        <v>39782</v>
      </c>
      <c r="C403" s="2">
        <v>39782</v>
      </c>
      <c r="D403" s="2">
        <v>39827</v>
      </c>
      <c r="E403" s="2"/>
      <c r="F403" t="s">
        <v>2</v>
      </c>
      <c r="G403" s="3">
        <v>45</v>
      </c>
      <c r="H403" s="4">
        <v>32527.34</v>
      </c>
      <c r="I403" t="s">
        <v>3</v>
      </c>
      <c r="J403" s="6">
        <v>1400000215</v>
      </c>
      <c r="K403" t="s">
        <v>0</v>
      </c>
      <c r="L403" s="3">
        <v>4258</v>
      </c>
      <c r="M403" s="3">
        <v>4227</v>
      </c>
      <c r="N403" s="6">
        <v>140000</v>
      </c>
      <c r="O403" s="6">
        <v>1050</v>
      </c>
      <c r="P403">
        <v>1081</v>
      </c>
      <c r="Q403" t="s">
        <v>32</v>
      </c>
    </row>
    <row r="404" spans="1:17" ht="13.95" customHeight="1" outlineLevel="3" x14ac:dyDescent="0.25">
      <c r="A404" t="s">
        <v>1</v>
      </c>
      <c r="B404" s="2">
        <v>39782</v>
      </c>
      <c r="C404" s="2">
        <v>39782</v>
      </c>
      <c r="D404" s="2">
        <v>39827</v>
      </c>
      <c r="E404" s="2"/>
      <c r="F404" t="s">
        <v>2</v>
      </c>
      <c r="G404" s="3">
        <v>45</v>
      </c>
      <c r="H404" s="4">
        <v>52836.24</v>
      </c>
      <c r="I404" t="s">
        <v>3</v>
      </c>
      <c r="J404" s="6">
        <v>1400000214</v>
      </c>
      <c r="K404" t="s">
        <v>0</v>
      </c>
      <c r="L404" s="3">
        <v>4258</v>
      </c>
      <c r="M404" s="3">
        <v>4227</v>
      </c>
      <c r="N404" s="6">
        <v>140000</v>
      </c>
      <c r="O404" s="6">
        <v>1050</v>
      </c>
      <c r="P404">
        <v>1081</v>
      </c>
      <c r="Q404" t="s">
        <v>32</v>
      </c>
    </row>
    <row r="405" spans="1:17" ht="13.95" customHeight="1" outlineLevel="3" x14ac:dyDescent="0.25">
      <c r="A405" t="s">
        <v>1</v>
      </c>
      <c r="B405" s="2">
        <v>39782</v>
      </c>
      <c r="C405" s="2">
        <v>39782</v>
      </c>
      <c r="D405" s="2">
        <v>39827</v>
      </c>
      <c r="E405" s="2"/>
      <c r="F405" t="s">
        <v>2</v>
      </c>
      <c r="G405" s="3">
        <v>45</v>
      </c>
      <c r="H405" s="4">
        <v>35593.61</v>
      </c>
      <c r="I405" t="s">
        <v>3</v>
      </c>
      <c r="J405" s="6">
        <v>1400000213</v>
      </c>
      <c r="K405" t="s">
        <v>0</v>
      </c>
      <c r="L405" s="3">
        <v>4258</v>
      </c>
      <c r="M405" s="3">
        <v>4227</v>
      </c>
      <c r="N405" s="6">
        <v>140000</v>
      </c>
      <c r="O405" s="6">
        <v>1050</v>
      </c>
      <c r="P405">
        <v>1081</v>
      </c>
      <c r="Q405" t="s">
        <v>32</v>
      </c>
    </row>
    <row r="406" spans="1:17" ht="13.95" customHeight="1" outlineLevel="3" x14ac:dyDescent="0.25">
      <c r="A406" t="s">
        <v>1</v>
      </c>
      <c r="B406" s="2">
        <v>39782</v>
      </c>
      <c r="C406" s="2">
        <v>39782</v>
      </c>
      <c r="D406" s="2">
        <v>39827</v>
      </c>
      <c r="E406" s="2"/>
      <c r="F406" t="s">
        <v>2</v>
      </c>
      <c r="G406" s="3">
        <v>45</v>
      </c>
      <c r="H406" s="4">
        <v>28913.19</v>
      </c>
      <c r="I406" t="s">
        <v>3</v>
      </c>
      <c r="J406" s="6">
        <v>1400000212</v>
      </c>
      <c r="K406" t="s">
        <v>0</v>
      </c>
      <c r="L406" s="3">
        <v>4258</v>
      </c>
      <c r="M406" s="3">
        <v>4227</v>
      </c>
      <c r="N406" s="6">
        <v>140000</v>
      </c>
      <c r="O406" s="6">
        <v>1050</v>
      </c>
      <c r="P406">
        <v>1081</v>
      </c>
      <c r="Q406" t="s">
        <v>32</v>
      </c>
    </row>
    <row r="407" spans="1:17" ht="13.95" customHeight="1" outlineLevel="3" x14ac:dyDescent="0.25">
      <c r="A407" t="s">
        <v>1</v>
      </c>
      <c r="B407" s="2">
        <v>39752</v>
      </c>
      <c r="C407" s="2">
        <v>39752</v>
      </c>
      <c r="D407" s="2">
        <v>39797</v>
      </c>
      <c r="E407" s="2"/>
      <c r="F407" t="s">
        <v>2</v>
      </c>
      <c r="G407" s="3">
        <v>45</v>
      </c>
      <c r="H407" s="4">
        <v>52836.24</v>
      </c>
      <c r="I407" t="s">
        <v>3</v>
      </c>
      <c r="J407" s="6">
        <v>1400000198</v>
      </c>
      <c r="K407" t="s">
        <v>0</v>
      </c>
      <c r="L407" s="3">
        <v>4288</v>
      </c>
      <c r="M407" s="3">
        <v>4257</v>
      </c>
      <c r="N407" s="6">
        <v>140000</v>
      </c>
      <c r="O407" s="6">
        <v>1050</v>
      </c>
      <c r="P407">
        <v>1111</v>
      </c>
      <c r="Q407" t="s">
        <v>32</v>
      </c>
    </row>
    <row r="408" spans="1:17" ht="13.95" customHeight="1" outlineLevel="3" x14ac:dyDescent="0.25">
      <c r="A408" t="s">
        <v>1</v>
      </c>
      <c r="B408" s="2">
        <v>39752</v>
      </c>
      <c r="C408" s="2">
        <v>39752</v>
      </c>
      <c r="D408" s="2">
        <v>39797</v>
      </c>
      <c r="E408" s="2"/>
      <c r="F408" t="s">
        <v>2</v>
      </c>
      <c r="G408" s="3">
        <v>45</v>
      </c>
      <c r="H408" s="4">
        <v>39548.46</v>
      </c>
      <c r="I408" t="s">
        <v>3</v>
      </c>
      <c r="J408" s="6">
        <v>1400000197</v>
      </c>
      <c r="K408" t="s">
        <v>0</v>
      </c>
      <c r="L408" s="3">
        <v>4288</v>
      </c>
      <c r="M408" s="3">
        <v>4257</v>
      </c>
      <c r="N408" s="6">
        <v>140000</v>
      </c>
      <c r="O408" s="6">
        <v>1050</v>
      </c>
      <c r="P408">
        <v>1111</v>
      </c>
      <c r="Q408" t="s">
        <v>32</v>
      </c>
    </row>
    <row r="409" spans="1:17" ht="13.95" customHeight="1" outlineLevel="3" x14ac:dyDescent="0.25">
      <c r="A409" t="s">
        <v>1</v>
      </c>
      <c r="B409" s="2">
        <v>39752</v>
      </c>
      <c r="C409" s="2">
        <v>39752</v>
      </c>
      <c r="D409" s="2">
        <v>39797</v>
      </c>
      <c r="E409" s="2"/>
      <c r="F409" t="s">
        <v>2</v>
      </c>
      <c r="G409" s="3">
        <v>45</v>
      </c>
      <c r="H409" s="4">
        <v>25299.040000000001</v>
      </c>
      <c r="I409" t="s">
        <v>3</v>
      </c>
      <c r="J409" s="6">
        <v>1400000196</v>
      </c>
      <c r="K409" t="s">
        <v>0</v>
      </c>
      <c r="L409" s="3">
        <v>4288</v>
      </c>
      <c r="M409" s="3">
        <v>4257</v>
      </c>
      <c r="N409" s="6">
        <v>140000</v>
      </c>
      <c r="O409" s="6">
        <v>1050</v>
      </c>
      <c r="P409">
        <v>1111</v>
      </c>
      <c r="Q409" t="s">
        <v>32</v>
      </c>
    </row>
    <row r="410" spans="1:17" ht="13.95" customHeight="1" outlineLevel="3" x14ac:dyDescent="0.25">
      <c r="A410" t="s">
        <v>1</v>
      </c>
      <c r="B410" s="2">
        <v>39752</v>
      </c>
      <c r="C410" s="2">
        <v>39752</v>
      </c>
      <c r="D410" s="2">
        <v>39797</v>
      </c>
      <c r="E410" s="2"/>
      <c r="F410" t="s">
        <v>2</v>
      </c>
      <c r="G410" s="3">
        <v>45</v>
      </c>
      <c r="H410" s="4">
        <v>56900.56</v>
      </c>
      <c r="I410" t="s">
        <v>3</v>
      </c>
      <c r="J410" s="6">
        <v>1400000195</v>
      </c>
      <c r="K410" t="s">
        <v>0</v>
      </c>
      <c r="L410" s="3">
        <v>4288</v>
      </c>
      <c r="M410" s="3">
        <v>4257</v>
      </c>
      <c r="N410" s="6">
        <v>140000</v>
      </c>
      <c r="O410" s="6">
        <v>1050</v>
      </c>
      <c r="P410">
        <v>1111</v>
      </c>
      <c r="Q410" t="s">
        <v>32</v>
      </c>
    </row>
    <row r="411" spans="1:17" ht="13.95" customHeight="1" outlineLevel="3" x14ac:dyDescent="0.25">
      <c r="A411" t="s">
        <v>1</v>
      </c>
      <c r="B411" s="2">
        <v>39752</v>
      </c>
      <c r="C411" s="2">
        <v>39752</v>
      </c>
      <c r="D411" s="2">
        <v>39797</v>
      </c>
      <c r="E411" s="2"/>
      <c r="F411" t="s">
        <v>2</v>
      </c>
      <c r="G411" s="3">
        <v>45</v>
      </c>
      <c r="H411" s="4">
        <v>43503.31</v>
      </c>
      <c r="I411" t="s">
        <v>3</v>
      </c>
      <c r="J411" s="6">
        <v>1400000194</v>
      </c>
      <c r="K411" t="s">
        <v>0</v>
      </c>
      <c r="L411" s="3">
        <v>4288</v>
      </c>
      <c r="M411" s="3">
        <v>4257</v>
      </c>
      <c r="N411" s="6">
        <v>140000</v>
      </c>
      <c r="O411" s="6">
        <v>1050</v>
      </c>
      <c r="P411">
        <v>1111</v>
      </c>
      <c r="Q411" t="s">
        <v>32</v>
      </c>
    </row>
    <row r="412" spans="1:17" ht="13.95" customHeight="1" outlineLevel="3" x14ac:dyDescent="0.25">
      <c r="A412" t="s">
        <v>1</v>
      </c>
      <c r="B412" s="2">
        <v>39752</v>
      </c>
      <c r="C412" s="2">
        <v>39752</v>
      </c>
      <c r="D412" s="2">
        <v>39797</v>
      </c>
      <c r="E412" s="2"/>
      <c r="F412" t="s">
        <v>2</v>
      </c>
      <c r="G412" s="3">
        <v>45</v>
      </c>
      <c r="H412" s="4">
        <v>21684.89</v>
      </c>
      <c r="I412" t="s">
        <v>3</v>
      </c>
      <c r="J412" s="6">
        <v>1400000193</v>
      </c>
      <c r="K412" t="s">
        <v>0</v>
      </c>
      <c r="L412" s="3">
        <v>4288</v>
      </c>
      <c r="M412" s="3">
        <v>4257</v>
      </c>
      <c r="N412" s="6">
        <v>140000</v>
      </c>
      <c r="O412" s="6">
        <v>1050</v>
      </c>
      <c r="P412">
        <v>1111</v>
      </c>
      <c r="Q412" t="s">
        <v>32</v>
      </c>
    </row>
    <row r="413" spans="1:17" ht="13.95" customHeight="1" outlineLevel="3" x14ac:dyDescent="0.25">
      <c r="A413" t="s">
        <v>1</v>
      </c>
      <c r="B413" s="2">
        <v>39447</v>
      </c>
      <c r="C413" s="2">
        <v>39447</v>
      </c>
      <c r="D413" s="2">
        <v>39447</v>
      </c>
      <c r="E413" s="2"/>
      <c r="F413" t="s">
        <v>2</v>
      </c>
      <c r="G413" s="3">
        <v>45</v>
      </c>
      <c r="H413" s="4">
        <v>-2135.6</v>
      </c>
      <c r="I413" t="s">
        <v>3</v>
      </c>
      <c r="J413" s="6">
        <v>1400000235</v>
      </c>
      <c r="K413" t="s">
        <v>0</v>
      </c>
      <c r="L413" s="3">
        <v>4607</v>
      </c>
      <c r="M413" s="3">
        <v>4607</v>
      </c>
      <c r="N413" s="6">
        <v>140000</v>
      </c>
      <c r="O413" s="6">
        <v>1050</v>
      </c>
      <c r="P413">
        <v>1461</v>
      </c>
      <c r="Q413" t="s">
        <v>32</v>
      </c>
    </row>
    <row r="414" spans="1:17" ht="13.95" customHeight="1" outlineLevel="3" x14ac:dyDescent="0.25">
      <c r="A414" t="s">
        <v>1</v>
      </c>
      <c r="B414" s="2">
        <v>39416</v>
      </c>
      <c r="C414" s="2">
        <v>39416</v>
      </c>
      <c r="D414" s="2">
        <v>39416</v>
      </c>
      <c r="E414" s="2"/>
      <c r="F414" t="s">
        <v>2</v>
      </c>
      <c r="G414" s="3">
        <v>45</v>
      </c>
      <c r="H414" s="4">
        <v>-2302.81</v>
      </c>
      <c r="I414" t="s">
        <v>3</v>
      </c>
      <c r="J414" s="6">
        <v>1400000234</v>
      </c>
      <c r="K414" t="s">
        <v>0</v>
      </c>
      <c r="L414" s="3">
        <v>4638</v>
      </c>
      <c r="M414" s="3">
        <v>4638</v>
      </c>
      <c r="N414" s="6">
        <v>140000</v>
      </c>
      <c r="O414" s="6">
        <v>1050</v>
      </c>
      <c r="P414">
        <v>1492</v>
      </c>
      <c r="Q414" t="s">
        <v>32</v>
      </c>
    </row>
    <row r="415" spans="1:17" ht="13.95" customHeight="1" outlineLevel="3" x14ac:dyDescent="0.25">
      <c r="A415" t="s">
        <v>1</v>
      </c>
      <c r="B415" s="2">
        <v>38656</v>
      </c>
      <c r="C415" s="2">
        <v>38656</v>
      </c>
      <c r="D415" s="2">
        <v>38656</v>
      </c>
      <c r="E415" s="2"/>
      <c r="F415" t="s">
        <v>2</v>
      </c>
      <c r="G415" s="3">
        <v>45</v>
      </c>
      <c r="H415" s="4">
        <v>-7505.26</v>
      </c>
      <c r="I415" t="s">
        <v>3</v>
      </c>
      <c r="J415" s="6">
        <v>1400000293</v>
      </c>
      <c r="K415" t="s">
        <v>0</v>
      </c>
      <c r="L415" s="3">
        <v>5398</v>
      </c>
      <c r="M415" s="3">
        <v>5398</v>
      </c>
      <c r="N415" s="6">
        <v>140000</v>
      </c>
      <c r="O415" s="6">
        <v>1050</v>
      </c>
      <c r="P415">
        <v>2252</v>
      </c>
      <c r="Q415" t="s">
        <v>32</v>
      </c>
    </row>
    <row r="416" spans="1:17" ht="13.95" customHeight="1" outlineLevel="3" x14ac:dyDescent="0.25">
      <c r="A416" t="s">
        <v>1</v>
      </c>
      <c r="B416" s="2">
        <v>38625</v>
      </c>
      <c r="C416" s="2">
        <v>38625</v>
      </c>
      <c r="D416" s="2">
        <v>38625</v>
      </c>
      <c r="E416" s="2"/>
      <c r="F416" t="s">
        <v>2</v>
      </c>
      <c r="G416" s="3">
        <v>45</v>
      </c>
      <c r="H416" s="4">
        <v>-6251.33</v>
      </c>
      <c r="I416" t="s">
        <v>3</v>
      </c>
      <c r="J416" s="6">
        <v>1400000292</v>
      </c>
      <c r="K416" t="s">
        <v>0</v>
      </c>
      <c r="L416" s="3">
        <v>5429</v>
      </c>
      <c r="M416" s="3">
        <v>5429</v>
      </c>
      <c r="N416" s="6">
        <v>140000</v>
      </c>
      <c r="O416" s="6">
        <v>1050</v>
      </c>
      <c r="P416">
        <v>2283</v>
      </c>
      <c r="Q416" t="s">
        <v>32</v>
      </c>
    </row>
    <row r="417" spans="1:17" ht="13.95" customHeight="1" outlineLevel="3" x14ac:dyDescent="0.25">
      <c r="A417" t="s">
        <v>1</v>
      </c>
      <c r="B417" s="2">
        <v>38595</v>
      </c>
      <c r="C417" s="2">
        <v>38595</v>
      </c>
      <c r="D417" s="2">
        <v>38595</v>
      </c>
      <c r="E417" s="2"/>
      <c r="F417" t="s">
        <v>2</v>
      </c>
      <c r="G417" s="3">
        <v>45</v>
      </c>
      <c r="H417" s="4">
        <v>-7111.2</v>
      </c>
      <c r="I417" t="s">
        <v>3</v>
      </c>
      <c r="J417" s="6">
        <v>1400000291</v>
      </c>
      <c r="K417" t="s">
        <v>0</v>
      </c>
      <c r="L417" s="3">
        <v>5459</v>
      </c>
      <c r="M417" s="3">
        <v>5459</v>
      </c>
      <c r="N417" s="6">
        <v>140000</v>
      </c>
      <c r="O417" s="6">
        <v>1050</v>
      </c>
      <c r="P417">
        <v>2313</v>
      </c>
      <c r="Q417" t="s">
        <v>32</v>
      </c>
    </row>
    <row r="418" spans="1:17" ht="13.95" customHeight="1" outlineLevel="3" x14ac:dyDescent="0.25">
      <c r="A418" t="s">
        <v>1</v>
      </c>
      <c r="B418" s="2">
        <v>38564</v>
      </c>
      <c r="C418" s="2">
        <v>38564</v>
      </c>
      <c r="D418" s="2">
        <v>38564</v>
      </c>
      <c r="E418" s="2"/>
      <c r="F418" t="s">
        <v>2</v>
      </c>
      <c r="G418" s="3">
        <v>45</v>
      </c>
      <c r="H418" s="4">
        <v>-2290.94</v>
      </c>
      <c r="I418" t="s">
        <v>3</v>
      </c>
      <c r="J418" s="6">
        <v>1400000290</v>
      </c>
      <c r="K418" t="s">
        <v>0</v>
      </c>
      <c r="L418" s="3">
        <v>5490</v>
      </c>
      <c r="M418" s="3">
        <v>5490</v>
      </c>
      <c r="N418" s="6">
        <v>140000</v>
      </c>
      <c r="O418" s="6">
        <v>1050</v>
      </c>
      <c r="P418">
        <v>2344</v>
      </c>
      <c r="Q418" t="s">
        <v>32</v>
      </c>
    </row>
    <row r="419" spans="1:17" ht="13.95" customHeight="1" outlineLevel="3" x14ac:dyDescent="0.25">
      <c r="A419" t="s">
        <v>1</v>
      </c>
      <c r="B419" s="2">
        <v>38533</v>
      </c>
      <c r="C419" s="2">
        <v>38533</v>
      </c>
      <c r="D419" s="2">
        <v>38533</v>
      </c>
      <c r="E419" s="2"/>
      <c r="F419" t="s">
        <v>2</v>
      </c>
      <c r="G419" s="3">
        <v>45</v>
      </c>
      <c r="H419" s="4">
        <v>-5449.85</v>
      </c>
      <c r="I419" t="s">
        <v>3</v>
      </c>
      <c r="J419" s="6">
        <v>1400000289</v>
      </c>
      <c r="K419" t="s">
        <v>0</v>
      </c>
      <c r="L419" s="3">
        <v>5521</v>
      </c>
      <c r="M419" s="3">
        <v>5521</v>
      </c>
      <c r="N419" s="6">
        <v>140000</v>
      </c>
      <c r="O419" s="6">
        <v>1050</v>
      </c>
      <c r="P419">
        <v>2375</v>
      </c>
      <c r="Q419" t="s">
        <v>32</v>
      </c>
    </row>
    <row r="420" spans="1:17" ht="13.95" customHeight="1" outlineLevel="3" x14ac:dyDescent="0.25">
      <c r="A420" t="s">
        <v>1</v>
      </c>
      <c r="B420" s="2">
        <v>38472</v>
      </c>
      <c r="C420" s="2">
        <v>38472</v>
      </c>
      <c r="D420" s="2">
        <v>38472</v>
      </c>
      <c r="E420" s="2"/>
      <c r="F420" t="s">
        <v>2</v>
      </c>
      <c r="G420" s="3">
        <v>45</v>
      </c>
      <c r="H420" s="4">
        <v>-1336.39</v>
      </c>
      <c r="I420" t="s">
        <v>3</v>
      </c>
      <c r="J420" s="6">
        <v>1400000288</v>
      </c>
      <c r="K420" t="s">
        <v>0</v>
      </c>
      <c r="L420" s="3">
        <v>5582</v>
      </c>
      <c r="M420" s="3">
        <v>5582</v>
      </c>
      <c r="N420" s="6">
        <v>140000</v>
      </c>
      <c r="O420" s="6">
        <v>1050</v>
      </c>
      <c r="P420">
        <v>2436</v>
      </c>
      <c r="Q420" t="s">
        <v>32</v>
      </c>
    </row>
    <row r="421" spans="1:17" ht="13.95" customHeight="1" outlineLevel="3" x14ac:dyDescent="0.25">
      <c r="A421" t="s">
        <v>1</v>
      </c>
      <c r="B421" s="2">
        <v>38442</v>
      </c>
      <c r="C421" s="2">
        <v>38442</v>
      </c>
      <c r="D421" s="2">
        <v>38442</v>
      </c>
      <c r="E421" s="2"/>
      <c r="F421" t="s">
        <v>2</v>
      </c>
      <c r="G421" s="3">
        <v>45</v>
      </c>
      <c r="H421" s="4">
        <v>-1069.71</v>
      </c>
      <c r="I421" t="s">
        <v>3</v>
      </c>
      <c r="J421" s="6">
        <v>1400000287</v>
      </c>
      <c r="K421" t="s">
        <v>0</v>
      </c>
      <c r="L421" s="3">
        <v>5612</v>
      </c>
      <c r="M421" s="3">
        <v>5612</v>
      </c>
      <c r="N421" s="6">
        <v>140000</v>
      </c>
      <c r="O421" s="6">
        <v>1050</v>
      </c>
      <c r="P421">
        <v>2466</v>
      </c>
      <c r="Q421" t="s">
        <v>32</v>
      </c>
    </row>
    <row r="422" spans="1:17" ht="13.95" customHeight="1" outlineLevel="3" x14ac:dyDescent="0.25">
      <c r="A422" t="s">
        <v>1</v>
      </c>
      <c r="B422" s="2">
        <v>38383</v>
      </c>
      <c r="C422" s="2">
        <v>38383</v>
      </c>
      <c r="D422" s="2">
        <v>38383</v>
      </c>
      <c r="E422" s="2"/>
      <c r="F422" t="s">
        <v>2</v>
      </c>
      <c r="G422" s="3">
        <v>45</v>
      </c>
      <c r="H422" s="4">
        <v>-5945.58</v>
      </c>
      <c r="I422" t="s">
        <v>3</v>
      </c>
      <c r="J422" s="6">
        <v>1400000286</v>
      </c>
      <c r="K422" t="s">
        <v>0</v>
      </c>
      <c r="L422" s="3">
        <v>5671</v>
      </c>
      <c r="M422" s="3">
        <v>5671</v>
      </c>
      <c r="N422" s="6">
        <v>140000</v>
      </c>
      <c r="O422" s="6">
        <v>1050</v>
      </c>
      <c r="P422">
        <v>2525</v>
      </c>
      <c r="Q422" t="s">
        <v>32</v>
      </c>
    </row>
    <row r="423" spans="1:17" ht="13.95" customHeight="1" outlineLevel="3" x14ac:dyDescent="0.25">
      <c r="A423" t="s">
        <v>1</v>
      </c>
      <c r="B423" s="2">
        <v>39813</v>
      </c>
      <c r="C423" s="2">
        <v>39813</v>
      </c>
      <c r="D423" s="2">
        <v>39858</v>
      </c>
      <c r="E423" s="2"/>
      <c r="F423" t="s">
        <v>2</v>
      </c>
      <c r="G423" s="3">
        <v>45</v>
      </c>
      <c r="H423" s="4">
        <v>32527.34</v>
      </c>
      <c r="I423" t="s">
        <v>3</v>
      </c>
      <c r="J423" s="6">
        <v>1400000231</v>
      </c>
      <c r="K423" t="s">
        <v>0</v>
      </c>
      <c r="L423" s="3">
        <v>4227</v>
      </c>
      <c r="M423" s="3">
        <v>4196</v>
      </c>
      <c r="N423" s="6">
        <v>140000</v>
      </c>
      <c r="O423" s="6">
        <v>1050</v>
      </c>
      <c r="P423">
        <v>1050</v>
      </c>
      <c r="Q423" t="s">
        <v>32</v>
      </c>
    </row>
    <row r="424" spans="1:17" ht="13.95" customHeight="1" outlineLevel="3" x14ac:dyDescent="0.25">
      <c r="A424" t="s">
        <v>1</v>
      </c>
      <c r="B424" s="2">
        <v>39903</v>
      </c>
      <c r="C424" s="2">
        <v>39903</v>
      </c>
      <c r="D424" s="2">
        <v>39948</v>
      </c>
      <c r="E424" s="2"/>
      <c r="F424" t="s">
        <v>2</v>
      </c>
      <c r="G424" s="3">
        <v>45</v>
      </c>
      <c r="H424" s="4">
        <v>35593.61</v>
      </c>
      <c r="I424" t="s">
        <v>3</v>
      </c>
      <c r="J424" s="6">
        <v>1400000055</v>
      </c>
      <c r="K424" t="s">
        <v>0</v>
      </c>
      <c r="L424" s="3">
        <v>4137</v>
      </c>
      <c r="M424" s="3">
        <v>4106</v>
      </c>
      <c r="N424" s="6">
        <v>140000</v>
      </c>
      <c r="O424" s="6">
        <v>1050</v>
      </c>
      <c r="P424">
        <v>-232</v>
      </c>
      <c r="Q424" t="s">
        <v>28</v>
      </c>
    </row>
    <row r="425" spans="1:17" ht="13.95" customHeight="1" outlineLevel="3" x14ac:dyDescent="0.25">
      <c r="A425" t="s">
        <v>1</v>
      </c>
      <c r="B425" s="2">
        <v>39903</v>
      </c>
      <c r="C425" s="2">
        <v>39903</v>
      </c>
      <c r="D425" s="2">
        <v>39948</v>
      </c>
      <c r="E425" s="2"/>
      <c r="F425" t="s">
        <v>2</v>
      </c>
      <c r="G425" s="3">
        <v>45</v>
      </c>
      <c r="H425" s="4">
        <v>39755.64</v>
      </c>
      <c r="I425" t="s">
        <v>3</v>
      </c>
      <c r="J425" s="6">
        <v>1400000054</v>
      </c>
      <c r="K425" t="s">
        <v>0</v>
      </c>
      <c r="L425" s="3">
        <v>4137</v>
      </c>
      <c r="M425" s="3">
        <v>4106</v>
      </c>
      <c r="N425" s="6">
        <v>140000</v>
      </c>
      <c r="O425" s="6">
        <v>1050</v>
      </c>
      <c r="P425">
        <v>-2358</v>
      </c>
      <c r="Q425" t="s">
        <v>28</v>
      </c>
    </row>
    <row r="426" spans="1:17" ht="13.95" customHeight="1" outlineLevel="3" x14ac:dyDescent="0.25">
      <c r="A426" t="s">
        <v>1</v>
      </c>
      <c r="B426" s="2">
        <v>39903</v>
      </c>
      <c r="C426" s="2">
        <v>39903</v>
      </c>
      <c r="D426" s="2">
        <v>39948</v>
      </c>
      <c r="E426" s="2"/>
      <c r="F426" t="s">
        <v>2</v>
      </c>
      <c r="G426" s="3">
        <v>45</v>
      </c>
      <c r="H426" s="4">
        <v>28450.28</v>
      </c>
      <c r="I426" t="s">
        <v>3</v>
      </c>
      <c r="J426" s="6">
        <v>1400000053</v>
      </c>
      <c r="K426" t="s">
        <v>0</v>
      </c>
      <c r="L426" s="3">
        <v>4137</v>
      </c>
      <c r="M426" s="3">
        <v>4106</v>
      </c>
      <c r="N426" s="6">
        <v>140000</v>
      </c>
      <c r="O426" s="6">
        <v>1050</v>
      </c>
      <c r="P426">
        <v>139</v>
      </c>
      <c r="Q426" t="s">
        <v>30</v>
      </c>
    </row>
    <row r="427" spans="1:17" ht="13.95" customHeight="1" outlineLevel="3" x14ac:dyDescent="0.25">
      <c r="A427" t="s">
        <v>1</v>
      </c>
      <c r="B427" s="2">
        <v>39903</v>
      </c>
      <c r="C427" s="2">
        <v>39903</v>
      </c>
      <c r="D427" s="2">
        <v>39948</v>
      </c>
      <c r="E427" s="2"/>
      <c r="F427" t="s">
        <v>2</v>
      </c>
      <c r="G427" s="3">
        <v>45</v>
      </c>
      <c r="H427" s="4">
        <v>31638.77</v>
      </c>
      <c r="I427" t="s">
        <v>3</v>
      </c>
      <c r="J427" s="6">
        <v>1400000052</v>
      </c>
      <c r="K427" t="s">
        <v>0</v>
      </c>
      <c r="L427" s="3">
        <v>4137</v>
      </c>
      <c r="M427" s="3">
        <v>4106</v>
      </c>
      <c r="N427" s="6">
        <v>140000</v>
      </c>
      <c r="O427" s="6">
        <v>1050</v>
      </c>
      <c r="P427">
        <v>139</v>
      </c>
      <c r="Q427" t="s">
        <v>30</v>
      </c>
    </row>
    <row r="428" spans="1:17" ht="13.95" customHeight="1" outlineLevel="3" x14ac:dyDescent="0.25">
      <c r="A428" t="s">
        <v>1</v>
      </c>
      <c r="B428" s="2">
        <v>39903</v>
      </c>
      <c r="C428" s="2">
        <v>39903</v>
      </c>
      <c r="D428" s="2">
        <v>39948</v>
      </c>
      <c r="E428" s="2"/>
      <c r="F428" t="s">
        <v>2</v>
      </c>
      <c r="G428" s="3">
        <v>45</v>
      </c>
      <c r="H428" s="4">
        <v>46983.94</v>
      </c>
      <c r="I428" t="s">
        <v>3</v>
      </c>
      <c r="J428" s="6">
        <v>1400000051</v>
      </c>
      <c r="K428" t="s">
        <v>0</v>
      </c>
      <c r="L428" s="3">
        <v>4137</v>
      </c>
      <c r="M428" s="3">
        <v>4106</v>
      </c>
      <c r="N428" s="6">
        <v>140000</v>
      </c>
      <c r="O428" s="6">
        <v>1050</v>
      </c>
      <c r="P428">
        <v>-2380</v>
      </c>
      <c r="Q428" t="s">
        <v>28</v>
      </c>
    </row>
    <row r="429" spans="1:17" ht="13.95" customHeight="1" outlineLevel="3" x14ac:dyDescent="0.25">
      <c r="A429" t="s">
        <v>1</v>
      </c>
      <c r="B429" s="2">
        <v>39872</v>
      </c>
      <c r="C429" s="2">
        <v>39872</v>
      </c>
      <c r="D429" s="2">
        <v>39917</v>
      </c>
      <c r="E429" s="2"/>
      <c r="F429" t="s">
        <v>2</v>
      </c>
      <c r="G429" s="3">
        <v>45</v>
      </c>
      <c r="H429" s="4">
        <v>40643.26</v>
      </c>
      <c r="I429" t="s">
        <v>3</v>
      </c>
      <c r="J429" s="6">
        <v>1400000037</v>
      </c>
      <c r="K429" t="s">
        <v>0</v>
      </c>
      <c r="L429" s="3">
        <v>4168</v>
      </c>
      <c r="M429" s="3">
        <v>4137</v>
      </c>
      <c r="N429" s="6">
        <v>140000</v>
      </c>
      <c r="O429" s="6">
        <v>1050</v>
      </c>
      <c r="P429">
        <v>189</v>
      </c>
      <c r="Q429" t="s">
        <v>31</v>
      </c>
    </row>
    <row r="430" spans="1:17" ht="13.95" customHeight="1" outlineLevel="3" x14ac:dyDescent="0.25">
      <c r="A430" t="s">
        <v>1</v>
      </c>
      <c r="B430" s="2">
        <v>39872</v>
      </c>
      <c r="C430" s="2">
        <v>39872</v>
      </c>
      <c r="D430" s="2">
        <v>39917</v>
      </c>
      <c r="E430" s="2"/>
      <c r="F430" t="s">
        <v>2</v>
      </c>
      <c r="G430" s="3">
        <v>45</v>
      </c>
      <c r="H430" s="4">
        <v>31638.77</v>
      </c>
      <c r="I430" t="s">
        <v>3</v>
      </c>
      <c r="J430" s="6">
        <v>1400000036</v>
      </c>
      <c r="K430" t="s">
        <v>0</v>
      </c>
      <c r="L430" s="3">
        <v>4168</v>
      </c>
      <c r="M430" s="3">
        <v>4137</v>
      </c>
      <c r="N430" s="6">
        <v>140000</v>
      </c>
      <c r="O430" s="6">
        <v>1050</v>
      </c>
      <c r="P430">
        <v>-532</v>
      </c>
      <c r="Q430" t="s">
        <v>28</v>
      </c>
    </row>
    <row r="431" spans="1:17" ht="13.95" customHeight="1" outlineLevel="3" x14ac:dyDescent="0.25">
      <c r="A431" t="s">
        <v>1</v>
      </c>
      <c r="B431" s="2">
        <v>39872</v>
      </c>
      <c r="C431" s="2">
        <v>39872</v>
      </c>
      <c r="D431" s="2">
        <v>39917</v>
      </c>
      <c r="E431" s="2"/>
      <c r="F431" t="s">
        <v>2</v>
      </c>
      <c r="G431" s="3">
        <v>45</v>
      </c>
      <c r="H431" s="4">
        <v>43369.79</v>
      </c>
      <c r="I431" t="s">
        <v>3</v>
      </c>
      <c r="J431" s="6">
        <v>1400000035</v>
      </c>
      <c r="K431" t="s">
        <v>0</v>
      </c>
      <c r="L431" s="3">
        <v>4168</v>
      </c>
      <c r="M431" s="3">
        <v>4137</v>
      </c>
      <c r="N431" s="6">
        <v>140000</v>
      </c>
      <c r="O431" s="6">
        <v>1050</v>
      </c>
      <c r="P431">
        <v>-166</v>
      </c>
      <c r="Q431" t="s">
        <v>28</v>
      </c>
    </row>
    <row r="432" spans="1:17" ht="13.95" customHeight="1" outlineLevel="3" x14ac:dyDescent="0.25">
      <c r="A432" t="s">
        <v>1</v>
      </c>
      <c r="B432" s="2">
        <v>39872</v>
      </c>
      <c r="C432" s="2">
        <v>39872</v>
      </c>
      <c r="D432" s="2">
        <v>39917</v>
      </c>
      <c r="E432" s="2"/>
      <c r="F432" t="s">
        <v>2</v>
      </c>
      <c r="G432" s="3">
        <v>45</v>
      </c>
      <c r="H432" s="4">
        <v>36578.93</v>
      </c>
      <c r="I432" t="s">
        <v>3</v>
      </c>
      <c r="J432" s="6">
        <v>1400000034</v>
      </c>
      <c r="K432" t="s">
        <v>0</v>
      </c>
      <c r="L432" s="3">
        <v>4168</v>
      </c>
      <c r="M432" s="3">
        <v>4137</v>
      </c>
      <c r="N432" s="6">
        <v>140000</v>
      </c>
      <c r="O432" s="6">
        <v>1050</v>
      </c>
      <c r="P432">
        <v>-166</v>
      </c>
      <c r="Q432" t="s">
        <v>28</v>
      </c>
    </row>
    <row r="433" spans="1:17" ht="13.95" customHeight="1" outlineLevel="3" x14ac:dyDescent="0.25">
      <c r="A433" t="s">
        <v>1</v>
      </c>
      <c r="B433" s="2">
        <v>39872</v>
      </c>
      <c r="C433" s="2">
        <v>39872</v>
      </c>
      <c r="D433" s="2">
        <v>39917</v>
      </c>
      <c r="E433" s="2"/>
      <c r="F433" t="s">
        <v>2</v>
      </c>
      <c r="G433" s="3">
        <v>45</v>
      </c>
      <c r="H433" s="4">
        <v>23729.08</v>
      </c>
      <c r="I433" t="s">
        <v>3</v>
      </c>
      <c r="J433" s="6">
        <v>1400000033</v>
      </c>
      <c r="K433" t="s">
        <v>0</v>
      </c>
      <c r="L433" s="3">
        <v>4168</v>
      </c>
      <c r="M433" s="3">
        <v>4137</v>
      </c>
      <c r="N433" s="6">
        <v>140000</v>
      </c>
      <c r="O433" s="6">
        <v>1050</v>
      </c>
      <c r="P433">
        <v>-166</v>
      </c>
      <c r="Q433" t="s">
        <v>28</v>
      </c>
    </row>
    <row r="434" spans="1:17" ht="13.95" customHeight="1" outlineLevel="3" x14ac:dyDescent="0.25">
      <c r="A434" t="s">
        <v>1</v>
      </c>
      <c r="B434" s="2">
        <v>39872</v>
      </c>
      <c r="C434" s="2">
        <v>39872</v>
      </c>
      <c r="D434" s="2">
        <v>39917</v>
      </c>
      <c r="E434" s="2"/>
      <c r="F434" t="s">
        <v>2</v>
      </c>
      <c r="G434" s="3">
        <v>45</v>
      </c>
      <c r="H434" s="4">
        <v>50598.09</v>
      </c>
      <c r="I434" t="s">
        <v>3</v>
      </c>
      <c r="J434" s="6">
        <v>1400000032</v>
      </c>
      <c r="K434" t="s">
        <v>0</v>
      </c>
      <c r="L434" s="3">
        <v>4168</v>
      </c>
      <c r="M434" s="3">
        <v>4137</v>
      </c>
      <c r="N434" s="6">
        <v>140000</v>
      </c>
      <c r="O434" s="6">
        <v>1050</v>
      </c>
      <c r="P434">
        <v>-166</v>
      </c>
      <c r="Q434" t="s">
        <v>28</v>
      </c>
    </row>
    <row r="435" spans="1:17" ht="13.95" customHeight="1" outlineLevel="3" x14ac:dyDescent="0.25">
      <c r="A435" t="s">
        <v>1</v>
      </c>
      <c r="B435" s="2">
        <v>39844</v>
      </c>
      <c r="C435" s="2">
        <v>39844</v>
      </c>
      <c r="D435" s="2">
        <v>39889</v>
      </c>
      <c r="E435" s="2"/>
      <c r="F435" t="s">
        <v>2</v>
      </c>
      <c r="G435" s="3">
        <v>45</v>
      </c>
      <c r="H435" s="4">
        <v>36578.93</v>
      </c>
      <c r="I435" t="s">
        <v>3</v>
      </c>
      <c r="J435" s="6">
        <v>1400000018</v>
      </c>
      <c r="K435" t="s">
        <v>0</v>
      </c>
      <c r="L435" s="3">
        <v>4196</v>
      </c>
      <c r="M435" s="3">
        <v>4165</v>
      </c>
      <c r="N435" s="6">
        <v>140000</v>
      </c>
      <c r="O435" s="6">
        <v>1050</v>
      </c>
      <c r="P435">
        <v>-2329</v>
      </c>
      <c r="Q435" t="s">
        <v>28</v>
      </c>
    </row>
    <row r="436" spans="1:17" ht="13.95" customHeight="1" outlineLevel="3" x14ac:dyDescent="0.25">
      <c r="A436" t="s">
        <v>1</v>
      </c>
      <c r="B436" s="2">
        <v>39844</v>
      </c>
      <c r="C436" s="2">
        <v>39844</v>
      </c>
      <c r="D436" s="2">
        <v>39889</v>
      </c>
      <c r="E436" s="2"/>
      <c r="F436" t="s">
        <v>2</v>
      </c>
      <c r="G436" s="3">
        <v>45</v>
      </c>
      <c r="H436" s="4">
        <v>27683.919999999998</v>
      </c>
      <c r="I436" t="s">
        <v>3</v>
      </c>
      <c r="J436" s="6">
        <v>1400000017</v>
      </c>
      <c r="K436" t="s">
        <v>0</v>
      </c>
      <c r="L436" s="3">
        <v>4196</v>
      </c>
      <c r="M436" s="3">
        <v>4165</v>
      </c>
      <c r="N436" s="6">
        <v>140000</v>
      </c>
      <c r="O436" s="6">
        <v>1050</v>
      </c>
      <c r="P436">
        <v>-105</v>
      </c>
      <c r="Q436" t="s">
        <v>28</v>
      </c>
    </row>
    <row r="437" spans="1:17" ht="13.95" customHeight="1" outlineLevel="3" x14ac:dyDescent="0.25">
      <c r="A437" t="s">
        <v>1</v>
      </c>
      <c r="B437" s="2">
        <v>39844</v>
      </c>
      <c r="C437" s="2">
        <v>39844</v>
      </c>
      <c r="D437" s="2">
        <v>39889</v>
      </c>
      <c r="E437" s="2"/>
      <c r="F437" t="s">
        <v>2</v>
      </c>
      <c r="G437" s="3">
        <v>45</v>
      </c>
      <c r="H437" s="4">
        <v>39755.64</v>
      </c>
      <c r="I437" t="s">
        <v>3</v>
      </c>
      <c r="J437" s="6">
        <v>1400000016</v>
      </c>
      <c r="K437" t="s">
        <v>0</v>
      </c>
      <c r="L437" s="3">
        <v>4196</v>
      </c>
      <c r="M437" s="3">
        <v>4165</v>
      </c>
      <c r="N437" s="6">
        <v>140000</v>
      </c>
      <c r="O437" s="6">
        <v>1050</v>
      </c>
      <c r="P437">
        <v>-105</v>
      </c>
      <c r="Q437" t="s">
        <v>28</v>
      </c>
    </row>
    <row r="438" spans="1:17" ht="13.95" customHeight="1" outlineLevel="3" x14ac:dyDescent="0.25">
      <c r="A438" t="s">
        <v>1</v>
      </c>
      <c r="B438" s="2">
        <v>39844</v>
      </c>
      <c r="C438" s="2">
        <v>39844</v>
      </c>
      <c r="D438" s="2">
        <v>39889</v>
      </c>
      <c r="E438" s="2"/>
      <c r="F438" t="s">
        <v>2</v>
      </c>
      <c r="G438" s="3">
        <v>45</v>
      </c>
      <c r="H438" s="4">
        <v>40643.26</v>
      </c>
      <c r="I438" t="s">
        <v>3</v>
      </c>
      <c r="J438" s="6">
        <v>1400000015</v>
      </c>
      <c r="K438" t="s">
        <v>0</v>
      </c>
      <c r="L438" s="3">
        <v>4196</v>
      </c>
      <c r="M438" s="3">
        <v>4165</v>
      </c>
      <c r="N438" s="6">
        <v>140000</v>
      </c>
      <c r="O438" s="6">
        <v>1050</v>
      </c>
      <c r="P438">
        <v>-105</v>
      </c>
      <c r="Q438" t="s">
        <v>28</v>
      </c>
    </row>
    <row r="439" spans="1:17" ht="13.95" customHeight="1" outlineLevel="3" x14ac:dyDescent="0.25">
      <c r="A439" t="s">
        <v>1</v>
      </c>
      <c r="B439" s="2">
        <v>39844</v>
      </c>
      <c r="C439" s="2">
        <v>39844</v>
      </c>
      <c r="D439" s="2">
        <v>39889</v>
      </c>
      <c r="E439" s="2"/>
      <c r="F439" t="s">
        <v>2</v>
      </c>
      <c r="G439" s="3">
        <v>45</v>
      </c>
      <c r="H439" s="4">
        <v>23729.08</v>
      </c>
      <c r="I439" t="s">
        <v>3</v>
      </c>
      <c r="J439" s="6">
        <v>1400000014</v>
      </c>
      <c r="K439" t="s">
        <v>0</v>
      </c>
      <c r="L439" s="3">
        <v>4196</v>
      </c>
      <c r="M439" s="3">
        <v>4165</v>
      </c>
      <c r="N439" s="6">
        <v>140000</v>
      </c>
      <c r="O439" s="6">
        <v>1050</v>
      </c>
      <c r="P439">
        <v>-105</v>
      </c>
      <c r="Q439" t="s">
        <v>28</v>
      </c>
    </row>
    <row r="440" spans="1:17" ht="13.95" customHeight="1" outlineLevel="3" x14ac:dyDescent="0.25">
      <c r="A440" t="s">
        <v>1</v>
      </c>
      <c r="B440" s="2">
        <v>39844</v>
      </c>
      <c r="C440" s="2">
        <v>39844</v>
      </c>
      <c r="D440" s="2">
        <v>39889</v>
      </c>
      <c r="E440" s="2"/>
      <c r="F440" t="s">
        <v>2</v>
      </c>
      <c r="G440" s="3">
        <v>45</v>
      </c>
      <c r="H440" s="4">
        <v>36141.49</v>
      </c>
      <c r="I440" t="s">
        <v>3</v>
      </c>
      <c r="J440" s="6">
        <v>1400000013</v>
      </c>
      <c r="K440" t="s">
        <v>0</v>
      </c>
      <c r="L440" s="3">
        <v>4196</v>
      </c>
      <c r="M440" s="3">
        <v>4165</v>
      </c>
      <c r="N440" s="6">
        <v>140000</v>
      </c>
      <c r="O440" s="6">
        <v>1050</v>
      </c>
      <c r="P440">
        <v>-105</v>
      </c>
      <c r="Q440" t="s">
        <v>28</v>
      </c>
    </row>
    <row r="441" spans="1:17" ht="13.95" customHeight="1" outlineLevel="3" x14ac:dyDescent="0.25">
      <c r="A441" t="s">
        <v>1</v>
      </c>
      <c r="B441" s="2">
        <v>39813</v>
      </c>
      <c r="C441" s="2">
        <v>39813</v>
      </c>
      <c r="D441" s="2">
        <v>39858</v>
      </c>
      <c r="E441" s="2"/>
      <c r="F441" t="s">
        <v>2</v>
      </c>
      <c r="G441" s="3">
        <v>45</v>
      </c>
      <c r="H441" s="4">
        <v>44707.59</v>
      </c>
      <c r="I441" t="s">
        <v>3</v>
      </c>
      <c r="J441" s="6">
        <v>1400000236</v>
      </c>
      <c r="K441" t="s">
        <v>0</v>
      </c>
      <c r="L441" s="3">
        <v>4227</v>
      </c>
      <c r="M441" s="3">
        <v>4196</v>
      </c>
      <c r="N441" s="6">
        <v>140000</v>
      </c>
      <c r="O441" s="6">
        <v>1050</v>
      </c>
      <c r="P441">
        <v>1050</v>
      </c>
      <c r="Q441" t="s">
        <v>32</v>
      </c>
    </row>
    <row r="442" spans="1:17" ht="13.95" customHeight="1" outlineLevel="3" x14ac:dyDescent="0.25">
      <c r="A442" t="s">
        <v>1</v>
      </c>
      <c r="B442" s="2">
        <v>39813</v>
      </c>
      <c r="C442" s="2">
        <v>39813</v>
      </c>
      <c r="D442" s="2">
        <v>39858</v>
      </c>
      <c r="E442" s="2"/>
      <c r="F442" t="s">
        <v>2</v>
      </c>
      <c r="G442" s="3">
        <v>45</v>
      </c>
      <c r="H442" s="4">
        <v>23729.08</v>
      </c>
      <c r="I442" t="s">
        <v>3</v>
      </c>
      <c r="J442" s="6">
        <v>1400000235</v>
      </c>
      <c r="K442" t="s">
        <v>0</v>
      </c>
      <c r="L442" s="3">
        <v>4227</v>
      </c>
      <c r="M442" s="3">
        <v>4196</v>
      </c>
      <c r="N442" s="6">
        <v>140000</v>
      </c>
      <c r="O442" s="6">
        <v>1050</v>
      </c>
      <c r="P442">
        <v>1461</v>
      </c>
      <c r="Q442" t="s">
        <v>32</v>
      </c>
    </row>
    <row r="443" spans="1:17" ht="13.95" customHeight="1" outlineLevel="3" x14ac:dyDescent="0.25">
      <c r="A443" t="s">
        <v>1</v>
      </c>
      <c r="B443" s="2">
        <v>39813</v>
      </c>
      <c r="C443" s="2">
        <v>39813</v>
      </c>
      <c r="D443" s="2">
        <v>39858</v>
      </c>
      <c r="E443" s="2"/>
      <c r="F443" t="s">
        <v>2</v>
      </c>
      <c r="G443" s="3">
        <v>45</v>
      </c>
      <c r="H443" s="4">
        <v>36141.49</v>
      </c>
      <c r="I443" t="s">
        <v>3</v>
      </c>
      <c r="J443" s="6">
        <v>1400000234</v>
      </c>
      <c r="K443" t="s">
        <v>0</v>
      </c>
      <c r="L443" s="3">
        <v>4227</v>
      </c>
      <c r="M443" s="3">
        <v>4196</v>
      </c>
      <c r="N443" s="6">
        <v>140000</v>
      </c>
      <c r="O443" s="6">
        <v>1050</v>
      </c>
      <c r="P443">
        <v>1492</v>
      </c>
      <c r="Q443" t="s">
        <v>32</v>
      </c>
    </row>
    <row r="444" spans="1:17" ht="13.95" customHeight="1" outlineLevel="3" x14ac:dyDescent="0.25">
      <c r="A444" t="s">
        <v>1</v>
      </c>
      <c r="B444" s="2">
        <v>39813</v>
      </c>
      <c r="C444" s="2">
        <v>39813</v>
      </c>
      <c r="D444" s="2">
        <v>39858</v>
      </c>
      <c r="E444" s="2"/>
      <c r="F444" t="s">
        <v>2</v>
      </c>
      <c r="G444" s="3">
        <v>45</v>
      </c>
      <c r="H444" s="4">
        <v>48771.91</v>
      </c>
      <c r="I444" t="s">
        <v>3</v>
      </c>
      <c r="J444" s="6">
        <v>1400000233</v>
      </c>
      <c r="K444" t="s">
        <v>0</v>
      </c>
      <c r="L444" s="3">
        <v>4227</v>
      </c>
      <c r="M444" s="3">
        <v>4196</v>
      </c>
      <c r="N444" s="6">
        <v>140000</v>
      </c>
      <c r="O444" s="6">
        <v>1050</v>
      </c>
      <c r="P444">
        <v>1050</v>
      </c>
      <c r="Q444" t="s">
        <v>32</v>
      </c>
    </row>
    <row r="445" spans="1:17" ht="13.95" customHeight="1" outlineLevel="3" x14ac:dyDescent="0.25">
      <c r="A445" t="s">
        <v>1</v>
      </c>
      <c r="B445" s="2">
        <v>39813</v>
      </c>
      <c r="C445" s="2">
        <v>39813</v>
      </c>
      <c r="D445" s="2">
        <v>39858</v>
      </c>
      <c r="E445" s="2"/>
      <c r="F445" t="s">
        <v>2</v>
      </c>
      <c r="G445" s="3">
        <v>45</v>
      </c>
      <c r="H445" s="4">
        <v>27683.919999999998</v>
      </c>
      <c r="I445" t="s">
        <v>3</v>
      </c>
      <c r="J445" s="6">
        <v>1400000232</v>
      </c>
      <c r="K445" t="s">
        <v>0</v>
      </c>
      <c r="L445" s="3">
        <v>4227</v>
      </c>
      <c r="M445" s="3">
        <v>4196</v>
      </c>
      <c r="N445" s="6">
        <v>140000</v>
      </c>
      <c r="O445" s="6">
        <v>1050</v>
      </c>
      <c r="P445">
        <v>1050</v>
      </c>
      <c r="Q445" t="s">
        <v>32</v>
      </c>
    </row>
    <row r="446" spans="1:17" ht="13.95" customHeight="1" outlineLevel="3" x14ac:dyDescent="0.25">
      <c r="A446" t="s">
        <v>1</v>
      </c>
      <c r="B446" s="2">
        <v>40147</v>
      </c>
      <c r="C446" s="2">
        <v>40147</v>
      </c>
      <c r="D446" s="2">
        <v>40192</v>
      </c>
      <c r="E446" s="2"/>
      <c r="F446" t="s">
        <v>2</v>
      </c>
      <c r="G446" s="3">
        <v>45</v>
      </c>
      <c r="H446" s="4">
        <v>52836.24</v>
      </c>
      <c r="I446" t="s">
        <v>3</v>
      </c>
      <c r="J446" s="6">
        <v>1400000175</v>
      </c>
      <c r="K446" t="s">
        <v>0</v>
      </c>
      <c r="L446" s="3">
        <v>3893</v>
      </c>
      <c r="M446" s="3">
        <v>3862</v>
      </c>
      <c r="N446" s="6">
        <v>140000</v>
      </c>
      <c r="O446" s="6">
        <v>1050</v>
      </c>
      <c r="P446">
        <v>716</v>
      </c>
      <c r="Q446" t="s">
        <v>32</v>
      </c>
    </row>
    <row r="447" spans="1:17" ht="13.95" customHeight="1" outlineLevel="3" x14ac:dyDescent="0.25">
      <c r="A447" t="s">
        <v>1</v>
      </c>
      <c r="B447" s="2">
        <v>40482</v>
      </c>
      <c r="C447" s="2">
        <v>40482</v>
      </c>
      <c r="D447" s="2">
        <v>40527</v>
      </c>
      <c r="E447" s="2"/>
      <c r="F447" t="s">
        <v>2</v>
      </c>
      <c r="G447" s="3">
        <v>45</v>
      </c>
      <c r="H447" s="4">
        <v>25299.040000000001</v>
      </c>
      <c r="I447" t="s">
        <v>3</v>
      </c>
      <c r="J447" s="6">
        <v>1400000277</v>
      </c>
      <c r="K447" t="s">
        <v>0</v>
      </c>
      <c r="L447" s="3">
        <v>3558</v>
      </c>
      <c r="M447" s="3">
        <v>3527</v>
      </c>
      <c r="N447" s="6">
        <v>140000</v>
      </c>
      <c r="O447" s="6">
        <v>1050</v>
      </c>
      <c r="P447">
        <v>381</v>
      </c>
      <c r="Q447" t="s">
        <v>32</v>
      </c>
    </row>
    <row r="448" spans="1:17" ht="13.95" customHeight="1" outlineLevel="3" x14ac:dyDescent="0.25">
      <c r="A448" t="s">
        <v>1</v>
      </c>
      <c r="B448" s="2">
        <v>40482</v>
      </c>
      <c r="C448" s="2">
        <v>40482</v>
      </c>
      <c r="D448" s="2">
        <v>40527</v>
      </c>
      <c r="E448" s="2"/>
      <c r="F448" t="s">
        <v>2</v>
      </c>
      <c r="G448" s="3">
        <v>45</v>
      </c>
      <c r="H448" s="4">
        <v>56900.56</v>
      </c>
      <c r="I448" t="s">
        <v>3</v>
      </c>
      <c r="J448" s="6">
        <v>1400000276</v>
      </c>
      <c r="K448" t="s">
        <v>0</v>
      </c>
      <c r="L448" s="3">
        <v>3558</v>
      </c>
      <c r="M448" s="3">
        <v>3527</v>
      </c>
      <c r="N448" s="6">
        <v>140000</v>
      </c>
      <c r="O448" s="6">
        <v>1050</v>
      </c>
      <c r="P448">
        <v>381</v>
      </c>
      <c r="Q448" t="s">
        <v>32</v>
      </c>
    </row>
    <row r="449" spans="1:17" ht="13.95" customHeight="1" outlineLevel="3" x14ac:dyDescent="0.25">
      <c r="A449" t="s">
        <v>1</v>
      </c>
      <c r="B449" s="2">
        <v>40482</v>
      </c>
      <c r="C449" s="2">
        <v>40482</v>
      </c>
      <c r="D449" s="2">
        <v>40527</v>
      </c>
      <c r="E449" s="2"/>
      <c r="F449" t="s">
        <v>2</v>
      </c>
      <c r="G449" s="3">
        <v>45</v>
      </c>
      <c r="H449" s="4">
        <v>43503.31</v>
      </c>
      <c r="I449" t="s">
        <v>3</v>
      </c>
      <c r="J449" s="6">
        <v>1400000275</v>
      </c>
      <c r="K449" t="s">
        <v>0</v>
      </c>
      <c r="L449" s="3">
        <v>3558</v>
      </c>
      <c r="M449" s="3">
        <v>3527</v>
      </c>
      <c r="N449" s="6">
        <v>140000</v>
      </c>
      <c r="O449" s="6">
        <v>1050</v>
      </c>
      <c r="P449">
        <v>381</v>
      </c>
      <c r="Q449" t="s">
        <v>32</v>
      </c>
    </row>
    <row r="450" spans="1:17" ht="13.95" customHeight="1" outlineLevel="3" x14ac:dyDescent="0.25">
      <c r="A450" t="s">
        <v>1</v>
      </c>
      <c r="B450" s="2">
        <v>40482</v>
      </c>
      <c r="C450" s="2">
        <v>40482</v>
      </c>
      <c r="D450" s="2">
        <v>40527</v>
      </c>
      <c r="E450" s="2"/>
      <c r="F450" t="s">
        <v>2</v>
      </c>
      <c r="G450" s="3">
        <v>45</v>
      </c>
      <c r="H450" s="4">
        <v>21684.89</v>
      </c>
      <c r="I450" t="s">
        <v>3</v>
      </c>
      <c r="J450" s="6">
        <v>1400000274</v>
      </c>
      <c r="K450" t="s">
        <v>0</v>
      </c>
      <c r="L450" s="3">
        <v>3558</v>
      </c>
      <c r="M450" s="3">
        <v>3527</v>
      </c>
      <c r="N450" s="6">
        <v>140000</v>
      </c>
      <c r="O450" s="6">
        <v>1050</v>
      </c>
      <c r="P450">
        <v>381</v>
      </c>
      <c r="Q450" t="s">
        <v>32</v>
      </c>
    </row>
    <row r="451" spans="1:17" ht="13.95" customHeight="1" outlineLevel="3" x14ac:dyDescent="0.25">
      <c r="A451" t="s">
        <v>1</v>
      </c>
      <c r="B451" s="2">
        <v>40451</v>
      </c>
      <c r="C451" s="2">
        <v>40451</v>
      </c>
      <c r="D451" s="2">
        <v>40496</v>
      </c>
      <c r="E451" s="2"/>
      <c r="F451" t="s">
        <v>2</v>
      </c>
      <c r="G451" s="3">
        <v>45</v>
      </c>
      <c r="H451" s="4">
        <v>48771.91</v>
      </c>
      <c r="I451" t="s">
        <v>3</v>
      </c>
      <c r="J451" s="6">
        <v>1400000232</v>
      </c>
      <c r="K451" t="s">
        <v>0</v>
      </c>
      <c r="L451" s="3">
        <v>3589</v>
      </c>
      <c r="M451" s="3">
        <v>3558</v>
      </c>
      <c r="N451" s="6">
        <v>140000</v>
      </c>
      <c r="O451" s="6">
        <v>1050</v>
      </c>
      <c r="P451">
        <v>1050</v>
      </c>
      <c r="Q451" t="s">
        <v>32</v>
      </c>
    </row>
    <row r="452" spans="1:17" ht="13.95" customHeight="1" outlineLevel="3" x14ac:dyDescent="0.25">
      <c r="A452" t="s">
        <v>1</v>
      </c>
      <c r="B452" s="2">
        <v>40451</v>
      </c>
      <c r="C452" s="2">
        <v>40451</v>
      </c>
      <c r="D452" s="2">
        <v>40496</v>
      </c>
      <c r="E452" s="2"/>
      <c r="F452" t="s">
        <v>2</v>
      </c>
      <c r="G452" s="3">
        <v>45</v>
      </c>
      <c r="H452" s="4">
        <v>55367.839999999997</v>
      </c>
      <c r="I452" t="s">
        <v>3</v>
      </c>
      <c r="J452" s="6">
        <v>1400000231</v>
      </c>
      <c r="K452" t="s">
        <v>0</v>
      </c>
      <c r="L452" s="3">
        <v>3589</v>
      </c>
      <c r="M452" s="3">
        <v>3558</v>
      </c>
      <c r="N452" s="6">
        <v>140000</v>
      </c>
      <c r="O452" s="6">
        <v>1050</v>
      </c>
      <c r="P452">
        <v>1050</v>
      </c>
      <c r="Q452" t="s">
        <v>32</v>
      </c>
    </row>
    <row r="453" spans="1:17" ht="13.95" customHeight="1" outlineLevel="3" x14ac:dyDescent="0.25">
      <c r="A453" t="s">
        <v>1</v>
      </c>
      <c r="B453" s="2">
        <v>40451</v>
      </c>
      <c r="C453" s="2">
        <v>40451</v>
      </c>
      <c r="D453" s="2">
        <v>40496</v>
      </c>
      <c r="E453" s="2"/>
      <c r="F453" t="s">
        <v>2</v>
      </c>
      <c r="G453" s="3">
        <v>45</v>
      </c>
      <c r="H453" s="4">
        <v>18070.75</v>
      </c>
      <c r="I453" t="s">
        <v>3</v>
      </c>
      <c r="J453" s="6">
        <v>1400000230</v>
      </c>
      <c r="K453" t="s">
        <v>0</v>
      </c>
      <c r="L453" s="3">
        <v>3589</v>
      </c>
      <c r="M453" s="3">
        <v>3558</v>
      </c>
      <c r="N453" s="6">
        <v>140000</v>
      </c>
      <c r="O453" s="6">
        <v>1050</v>
      </c>
      <c r="P453">
        <v>1071</v>
      </c>
      <c r="Q453" t="s">
        <v>32</v>
      </c>
    </row>
    <row r="454" spans="1:17" ht="13.95" customHeight="1" outlineLevel="3" x14ac:dyDescent="0.25">
      <c r="A454" t="s">
        <v>1</v>
      </c>
      <c r="B454" s="2">
        <v>40451</v>
      </c>
      <c r="C454" s="2">
        <v>40451</v>
      </c>
      <c r="D454" s="2">
        <v>40496</v>
      </c>
      <c r="E454" s="2"/>
      <c r="F454" t="s">
        <v>2</v>
      </c>
      <c r="G454" s="3">
        <v>45</v>
      </c>
      <c r="H454" s="4">
        <v>44707.59</v>
      </c>
      <c r="I454" t="s">
        <v>3</v>
      </c>
      <c r="J454" s="6">
        <v>1400000229</v>
      </c>
      <c r="K454" t="s">
        <v>0</v>
      </c>
      <c r="L454" s="3">
        <v>3589</v>
      </c>
      <c r="M454" s="3">
        <v>3558</v>
      </c>
      <c r="N454" s="6">
        <v>140000</v>
      </c>
      <c r="O454" s="6">
        <v>1050</v>
      </c>
      <c r="P454">
        <v>1071</v>
      </c>
      <c r="Q454" t="s">
        <v>32</v>
      </c>
    </row>
    <row r="455" spans="1:17" ht="13.95" customHeight="1" outlineLevel="3" x14ac:dyDescent="0.25">
      <c r="A455" t="s">
        <v>1</v>
      </c>
      <c r="B455" s="2">
        <v>40451</v>
      </c>
      <c r="C455" s="2">
        <v>40451</v>
      </c>
      <c r="D455" s="2">
        <v>40496</v>
      </c>
      <c r="E455" s="2"/>
      <c r="F455" t="s">
        <v>2</v>
      </c>
      <c r="G455" s="3">
        <v>45</v>
      </c>
      <c r="H455" s="4">
        <v>47458.15</v>
      </c>
      <c r="I455" t="s">
        <v>3</v>
      </c>
      <c r="J455" s="6">
        <v>1400000228</v>
      </c>
      <c r="K455" t="s">
        <v>0</v>
      </c>
      <c r="L455" s="3">
        <v>3589</v>
      </c>
      <c r="M455" s="3">
        <v>3558</v>
      </c>
      <c r="N455" s="6">
        <v>140000</v>
      </c>
      <c r="O455" s="6">
        <v>1050</v>
      </c>
      <c r="P455">
        <v>1071</v>
      </c>
      <c r="Q455" t="s">
        <v>32</v>
      </c>
    </row>
    <row r="456" spans="1:17" ht="13.95" customHeight="1" outlineLevel="3" x14ac:dyDescent="0.25">
      <c r="A456" t="s">
        <v>1</v>
      </c>
      <c r="B456" s="2">
        <v>40451</v>
      </c>
      <c r="C456" s="2">
        <v>40451</v>
      </c>
      <c r="D456" s="2">
        <v>40496</v>
      </c>
      <c r="E456" s="2"/>
      <c r="F456" t="s">
        <v>2</v>
      </c>
      <c r="G456" s="3">
        <v>45</v>
      </c>
      <c r="H456" s="4">
        <v>18070.75</v>
      </c>
      <c r="I456" t="s">
        <v>3</v>
      </c>
      <c r="J456" s="6">
        <v>1400000227</v>
      </c>
      <c r="K456" t="s">
        <v>0</v>
      </c>
      <c r="L456" s="3">
        <v>3589</v>
      </c>
      <c r="M456" s="3">
        <v>3558</v>
      </c>
      <c r="N456" s="6">
        <v>140000</v>
      </c>
      <c r="O456" s="6">
        <v>1050</v>
      </c>
      <c r="P456">
        <v>412</v>
      </c>
      <c r="Q456" t="s">
        <v>32</v>
      </c>
    </row>
    <row r="457" spans="1:17" ht="13.95" customHeight="1" outlineLevel="3" x14ac:dyDescent="0.25">
      <c r="A457" t="s">
        <v>1</v>
      </c>
      <c r="B457" s="2">
        <v>40421</v>
      </c>
      <c r="C457" s="2">
        <v>40421</v>
      </c>
      <c r="D457" s="2">
        <v>40466</v>
      </c>
      <c r="E457" s="2"/>
      <c r="F457" t="s">
        <v>2</v>
      </c>
      <c r="G457" s="3">
        <v>45</v>
      </c>
      <c r="H457" s="4">
        <v>36578.93</v>
      </c>
      <c r="I457" t="s">
        <v>3</v>
      </c>
      <c r="J457" s="6">
        <v>1400000160</v>
      </c>
      <c r="K457" t="s">
        <v>0</v>
      </c>
      <c r="L457" s="3">
        <v>3619</v>
      </c>
      <c r="M457" s="3">
        <v>3588</v>
      </c>
      <c r="N457" s="6">
        <v>140000</v>
      </c>
      <c r="O457" s="6">
        <v>1050</v>
      </c>
      <c r="P457">
        <v>777</v>
      </c>
      <c r="Q457" t="s">
        <v>32</v>
      </c>
    </row>
    <row r="458" spans="1:17" ht="13.95" customHeight="1" outlineLevel="3" x14ac:dyDescent="0.25">
      <c r="A458" t="s">
        <v>1</v>
      </c>
      <c r="B458" s="2">
        <v>40421</v>
      </c>
      <c r="C458" s="2">
        <v>40421</v>
      </c>
      <c r="D458" s="2">
        <v>40466</v>
      </c>
      <c r="E458" s="2"/>
      <c r="F458" t="s">
        <v>2</v>
      </c>
      <c r="G458" s="3">
        <v>45</v>
      </c>
      <c r="H458" s="4">
        <v>63277.54</v>
      </c>
      <c r="I458" t="s">
        <v>3</v>
      </c>
      <c r="J458" s="6">
        <v>1400000159</v>
      </c>
      <c r="K458" t="s">
        <v>0</v>
      </c>
      <c r="L458" s="3">
        <v>3619</v>
      </c>
      <c r="M458" s="3">
        <v>3588</v>
      </c>
      <c r="N458" s="6">
        <v>140000</v>
      </c>
      <c r="O458" s="6">
        <v>1050</v>
      </c>
      <c r="P458">
        <v>777</v>
      </c>
      <c r="Q458" t="s">
        <v>32</v>
      </c>
    </row>
    <row r="459" spans="1:17" ht="13.95" customHeight="1" outlineLevel="3" x14ac:dyDescent="0.25">
      <c r="A459" t="s">
        <v>1</v>
      </c>
      <c r="B459" s="2">
        <v>40421</v>
      </c>
      <c r="C459" s="2">
        <v>40421</v>
      </c>
      <c r="D459" s="2">
        <v>40466</v>
      </c>
      <c r="E459" s="2"/>
      <c r="F459" t="s">
        <v>2</v>
      </c>
      <c r="G459" s="3">
        <v>45</v>
      </c>
      <c r="H459" s="4">
        <v>21684.89</v>
      </c>
      <c r="I459" t="s">
        <v>3</v>
      </c>
      <c r="J459" s="6">
        <v>1400000158</v>
      </c>
      <c r="K459" t="s">
        <v>0</v>
      </c>
      <c r="L459" s="3">
        <v>3619</v>
      </c>
      <c r="M459" s="3">
        <v>3588</v>
      </c>
      <c r="N459" s="6">
        <v>140000</v>
      </c>
      <c r="O459" s="6">
        <v>1050</v>
      </c>
      <c r="P459">
        <v>777</v>
      </c>
      <c r="Q459" t="s">
        <v>32</v>
      </c>
    </row>
    <row r="460" spans="1:17" ht="13.95" customHeight="1" outlineLevel="3" x14ac:dyDescent="0.25">
      <c r="A460" t="s">
        <v>1</v>
      </c>
      <c r="B460" s="2">
        <v>40421</v>
      </c>
      <c r="C460" s="2">
        <v>40421</v>
      </c>
      <c r="D460" s="2">
        <v>40466</v>
      </c>
      <c r="E460" s="2"/>
      <c r="F460" t="s">
        <v>2</v>
      </c>
      <c r="G460" s="3">
        <v>45</v>
      </c>
      <c r="H460" s="4">
        <v>40643.26</v>
      </c>
      <c r="I460" t="s">
        <v>3</v>
      </c>
      <c r="J460" s="6">
        <v>1400000157</v>
      </c>
      <c r="K460" t="s">
        <v>0</v>
      </c>
      <c r="L460" s="3">
        <v>3619</v>
      </c>
      <c r="M460" s="3">
        <v>3588</v>
      </c>
      <c r="N460" s="6">
        <v>140000</v>
      </c>
      <c r="O460" s="6">
        <v>1050</v>
      </c>
      <c r="P460">
        <v>777</v>
      </c>
      <c r="Q460" t="s">
        <v>32</v>
      </c>
    </row>
    <row r="461" spans="1:17" ht="13.95" customHeight="1" outlineLevel="3" x14ac:dyDescent="0.25">
      <c r="A461" t="s">
        <v>1</v>
      </c>
      <c r="B461" s="2">
        <v>40421</v>
      </c>
      <c r="C461" s="2">
        <v>40421</v>
      </c>
      <c r="D461" s="2">
        <v>40466</v>
      </c>
      <c r="E461" s="2"/>
      <c r="F461" t="s">
        <v>2</v>
      </c>
      <c r="G461" s="3">
        <v>45</v>
      </c>
      <c r="H461" s="4">
        <v>51413</v>
      </c>
      <c r="I461" t="s">
        <v>3</v>
      </c>
      <c r="J461" s="6">
        <v>1400000156</v>
      </c>
      <c r="K461" t="s">
        <v>0</v>
      </c>
      <c r="L461" s="3">
        <v>3619</v>
      </c>
      <c r="M461" s="3">
        <v>3588</v>
      </c>
      <c r="N461" s="6">
        <v>140000</v>
      </c>
      <c r="O461" s="6">
        <v>1050</v>
      </c>
      <c r="P461">
        <v>777</v>
      </c>
      <c r="Q461" t="s">
        <v>32</v>
      </c>
    </row>
    <row r="462" spans="1:17" ht="13.95" customHeight="1" outlineLevel="3" x14ac:dyDescent="0.25">
      <c r="A462" t="s">
        <v>1</v>
      </c>
      <c r="B462" s="2">
        <v>40421</v>
      </c>
      <c r="C462" s="2">
        <v>40421</v>
      </c>
      <c r="D462" s="2">
        <v>40466</v>
      </c>
      <c r="E462" s="2"/>
      <c r="F462" t="s">
        <v>2</v>
      </c>
      <c r="G462" s="3">
        <v>45</v>
      </c>
      <c r="H462" s="4">
        <v>14456.6</v>
      </c>
      <c r="I462" t="s">
        <v>3</v>
      </c>
      <c r="J462" s="6">
        <v>1400000155</v>
      </c>
      <c r="K462" t="s">
        <v>0</v>
      </c>
      <c r="L462" s="3">
        <v>3619</v>
      </c>
      <c r="M462" s="3">
        <v>3588</v>
      </c>
      <c r="N462" s="6">
        <v>140000</v>
      </c>
      <c r="O462" s="6">
        <v>1050</v>
      </c>
      <c r="P462">
        <v>777</v>
      </c>
      <c r="Q462" t="s">
        <v>32</v>
      </c>
    </row>
    <row r="463" spans="1:17" ht="13.95" customHeight="1" outlineLevel="3" x14ac:dyDescent="0.25">
      <c r="A463" t="s">
        <v>1</v>
      </c>
      <c r="B463" s="2">
        <v>40390</v>
      </c>
      <c r="C463" s="2">
        <v>40390</v>
      </c>
      <c r="D463" s="2">
        <v>40435</v>
      </c>
      <c r="E463" s="2"/>
      <c r="F463" t="s">
        <v>2</v>
      </c>
      <c r="G463" s="3">
        <v>45</v>
      </c>
      <c r="H463" s="4">
        <v>24385.96</v>
      </c>
      <c r="I463" t="s">
        <v>3</v>
      </c>
      <c r="J463" s="6">
        <v>1400000136</v>
      </c>
      <c r="K463" t="s">
        <v>0</v>
      </c>
      <c r="L463" s="3">
        <v>3650</v>
      </c>
      <c r="M463" s="3">
        <v>3619</v>
      </c>
      <c r="N463" s="6">
        <v>140000</v>
      </c>
      <c r="O463" s="6">
        <v>1050</v>
      </c>
      <c r="P463">
        <v>473</v>
      </c>
      <c r="Q463" t="s">
        <v>32</v>
      </c>
    </row>
    <row r="464" spans="1:17" ht="13.95" customHeight="1" outlineLevel="3" x14ac:dyDescent="0.25">
      <c r="A464" t="s">
        <v>1</v>
      </c>
      <c r="B464" s="2">
        <v>40390</v>
      </c>
      <c r="C464" s="2">
        <v>40390</v>
      </c>
      <c r="D464" s="2">
        <v>40435</v>
      </c>
      <c r="E464" s="2"/>
      <c r="F464" t="s">
        <v>2</v>
      </c>
      <c r="G464" s="3">
        <v>45</v>
      </c>
      <c r="H464" s="4">
        <v>67232.38</v>
      </c>
      <c r="I464" t="s">
        <v>3</v>
      </c>
      <c r="J464" s="6">
        <v>1400000135</v>
      </c>
      <c r="K464" t="s">
        <v>0</v>
      </c>
      <c r="L464" s="3">
        <v>3650</v>
      </c>
      <c r="M464" s="3">
        <v>3619</v>
      </c>
      <c r="N464" s="6">
        <v>140000</v>
      </c>
      <c r="O464" s="6">
        <v>1050</v>
      </c>
      <c r="P464">
        <v>473</v>
      </c>
      <c r="Q464" t="s">
        <v>32</v>
      </c>
    </row>
    <row r="465" spans="1:17" ht="13.95" customHeight="1" outlineLevel="3" x14ac:dyDescent="0.25">
      <c r="A465" t="s">
        <v>1</v>
      </c>
      <c r="B465" s="2">
        <v>40390</v>
      </c>
      <c r="C465" s="2">
        <v>40390</v>
      </c>
      <c r="D465" s="2">
        <v>40435</v>
      </c>
      <c r="E465" s="2"/>
      <c r="F465" t="s">
        <v>2</v>
      </c>
      <c r="G465" s="3">
        <v>45</v>
      </c>
      <c r="H465" s="4">
        <v>21684.89</v>
      </c>
      <c r="I465" t="s">
        <v>3</v>
      </c>
      <c r="J465" s="6">
        <v>1400000134</v>
      </c>
      <c r="K465" t="s">
        <v>0</v>
      </c>
      <c r="L465" s="3">
        <v>3650</v>
      </c>
      <c r="M465" s="3">
        <v>3619</v>
      </c>
      <c r="N465" s="6">
        <v>140000</v>
      </c>
      <c r="O465" s="6">
        <v>1050</v>
      </c>
      <c r="P465">
        <v>473</v>
      </c>
      <c r="Q465" t="s">
        <v>32</v>
      </c>
    </row>
    <row r="466" spans="1:17" ht="13.95" customHeight="1" outlineLevel="3" x14ac:dyDescent="0.25">
      <c r="A466" t="s">
        <v>1</v>
      </c>
      <c r="B466" s="2">
        <v>40390</v>
      </c>
      <c r="C466" s="2">
        <v>40390</v>
      </c>
      <c r="D466" s="2">
        <v>40435</v>
      </c>
      <c r="E466" s="2"/>
      <c r="F466" t="s">
        <v>2</v>
      </c>
      <c r="G466" s="3">
        <v>45</v>
      </c>
      <c r="H466" s="4">
        <v>28450.28</v>
      </c>
      <c r="I466" t="s">
        <v>3</v>
      </c>
      <c r="J466" s="6">
        <v>1400000133</v>
      </c>
      <c r="K466" t="s">
        <v>0</v>
      </c>
      <c r="L466" s="3">
        <v>3650</v>
      </c>
      <c r="M466" s="3">
        <v>3619</v>
      </c>
      <c r="N466" s="6">
        <v>140000</v>
      </c>
      <c r="O466" s="6">
        <v>1050</v>
      </c>
      <c r="P466">
        <v>473</v>
      </c>
      <c r="Q466" t="s">
        <v>32</v>
      </c>
    </row>
    <row r="467" spans="1:17" ht="13.95" customHeight="1" outlineLevel="3" x14ac:dyDescent="0.25">
      <c r="A467" t="s">
        <v>1</v>
      </c>
      <c r="B467" s="2">
        <v>40390</v>
      </c>
      <c r="C467" s="2">
        <v>40390</v>
      </c>
      <c r="D467" s="2">
        <v>40435</v>
      </c>
      <c r="E467" s="2"/>
      <c r="F467" t="s">
        <v>2</v>
      </c>
      <c r="G467" s="3">
        <v>45</v>
      </c>
      <c r="H467" s="4">
        <v>63277.54</v>
      </c>
      <c r="I467" t="s">
        <v>3</v>
      </c>
      <c r="J467" s="6">
        <v>1400000132</v>
      </c>
      <c r="K467" t="s">
        <v>0</v>
      </c>
      <c r="L467" s="3">
        <v>3650</v>
      </c>
      <c r="M467" s="3">
        <v>3619</v>
      </c>
      <c r="N467" s="6">
        <v>140000</v>
      </c>
      <c r="O467" s="6">
        <v>1050</v>
      </c>
      <c r="P467">
        <v>838</v>
      </c>
      <c r="Q467" t="s">
        <v>32</v>
      </c>
    </row>
    <row r="468" spans="1:17" ht="13.95" customHeight="1" outlineLevel="3" x14ac:dyDescent="0.25">
      <c r="A468" t="s">
        <v>1</v>
      </c>
      <c r="B468" s="2">
        <v>40390</v>
      </c>
      <c r="C468" s="2">
        <v>40390</v>
      </c>
      <c r="D468" s="2">
        <v>40435</v>
      </c>
      <c r="E468" s="2"/>
      <c r="F468" t="s">
        <v>2</v>
      </c>
      <c r="G468" s="3">
        <v>45</v>
      </c>
      <c r="H468" s="4">
        <v>21684.89</v>
      </c>
      <c r="I468" t="s">
        <v>3</v>
      </c>
      <c r="J468" s="6">
        <v>1400000131</v>
      </c>
      <c r="K468" t="s">
        <v>0</v>
      </c>
      <c r="L468" s="3">
        <v>3650</v>
      </c>
      <c r="M468" s="3">
        <v>3619</v>
      </c>
      <c r="N468" s="6">
        <v>140000</v>
      </c>
      <c r="O468" s="6">
        <v>1050</v>
      </c>
      <c r="P468">
        <v>838</v>
      </c>
      <c r="Q468" t="s">
        <v>32</v>
      </c>
    </row>
    <row r="469" spans="1:17" ht="13.95" customHeight="1" outlineLevel="3" x14ac:dyDescent="0.25">
      <c r="A469" t="s">
        <v>1</v>
      </c>
      <c r="B469" s="2">
        <v>40482</v>
      </c>
      <c r="C469" s="2">
        <v>40482</v>
      </c>
      <c r="D469" s="2">
        <v>40527</v>
      </c>
      <c r="E469" s="2"/>
      <c r="F469" t="s">
        <v>2</v>
      </c>
      <c r="G469" s="3">
        <v>45</v>
      </c>
      <c r="H469" s="4">
        <v>39548.46</v>
      </c>
      <c r="I469" t="s">
        <v>3</v>
      </c>
      <c r="J469" s="6">
        <v>1400000278</v>
      </c>
      <c r="K469" t="s">
        <v>0</v>
      </c>
      <c r="L469" s="3">
        <v>3558</v>
      </c>
      <c r="M469" s="3">
        <v>3527</v>
      </c>
      <c r="N469" s="6">
        <v>140000</v>
      </c>
      <c r="O469" s="6">
        <v>1050</v>
      </c>
      <c r="P469">
        <v>381</v>
      </c>
      <c r="Q469" t="s">
        <v>32</v>
      </c>
    </row>
    <row r="470" spans="1:17" ht="13.95" customHeight="1" outlineLevel="3" x14ac:dyDescent="0.25">
      <c r="A470" t="s">
        <v>1</v>
      </c>
      <c r="B470" s="2">
        <v>40602</v>
      </c>
      <c r="C470" s="2">
        <v>40602</v>
      </c>
      <c r="D470" s="2">
        <v>40647</v>
      </c>
      <c r="E470" s="2"/>
      <c r="F470" t="s">
        <v>2</v>
      </c>
      <c r="G470" s="3">
        <v>45</v>
      </c>
      <c r="H470" s="4">
        <v>36578.93</v>
      </c>
      <c r="I470" t="s">
        <v>3</v>
      </c>
      <c r="J470" s="6">
        <v>1400000014</v>
      </c>
      <c r="K470" t="s">
        <v>0</v>
      </c>
      <c r="L470" s="3">
        <v>3438</v>
      </c>
      <c r="M470" s="3">
        <v>3407</v>
      </c>
      <c r="N470" s="6">
        <v>140000</v>
      </c>
      <c r="O470" s="6">
        <v>1050</v>
      </c>
      <c r="P470">
        <v>-105</v>
      </c>
      <c r="Q470" t="s">
        <v>28</v>
      </c>
    </row>
    <row r="471" spans="1:17" ht="13.95" customHeight="1" outlineLevel="3" x14ac:dyDescent="0.25">
      <c r="A471" t="s">
        <v>1</v>
      </c>
      <c r="B471" s="2">
        <v>40602</v>
      </c>
      <c r="C471" s="2">
        <v>40602</v>
      </c>
      <c r="D471" s="2">
        <v>40647</v>
      </c>
      <c r="E471" s="2"/>
      <c r="F471" t="s">
        <v>2</v>
      </c>
      <c r="G471" s="3">
        <v>45</v>
      </c>
      <c r="H471" s="4">
        <v>23729.08</v>
      </c>
      <c r="I471" t="s">
        <v>3</v>
      </c>
      <c r="J471" s="6">
        <v>1400000013</v>
      </c>
      <c r="K471" t="s">
        <v>0</v>
      </c>
      <c r="L471" s="3">
        <v>3438</v>
      </c>
      <c r="M471" s="3">
        <v>3407</v>
      </c>
      <c r="N471" s="6">
        <v>140000</v>
      </c>
      <c r="O471" s="6">
        <v>1050</v>
      </c>
      <c r="P471">
        <v>-105</v>
      </c>
      <c r="Q471" t="s">
        <v>28</v>
      </c>
    </row>
    <row r="472" spans="1:17" ht="13.95" customHeight="1" outlineLevel="3" x14ac:dyDescent="0.25">
      <c r="A472" t="s">
        <v>1</v>
      </c>
      <c r="B472" s="2">
        <v>40602</v>
      </c>
      <c r="C472" s="2">
        <v>40602</v>
      </c>
      <c r="D472" s="2">
        <v>40647</v>
      </c>
      <c r="E472" s="2"/>
      <c r="F472" t="s">
        <v>2</v>
      </c>
      <c r="G472" s="3">
        <v>45</v>
      </c>
      <c r="H472" s="4">
        <v>50598.09</v>
      </c>
      <c r="I472" t="s">
        <v>3</v>
      </c>
      <c r="J472" s="6">
        <v>1400000012</v>
      </c>
      <c r="K472" t="s">
        <v>0</v>
      </c>
      <c r="L472" s="3">
        <v>3438</v>
      </c>
      <c r="M472" s="3">
        <v>3407</v>
      </c>
      <c r="N472" s="6">
        <v>140000</v>
      </c>
      <c r="O472" s="6">
        <v>1050</v>
      </c>
      <c r="P472">
        <v>1031</v>
      </c>
      <c r="Q472" t="s">
        <v>32</v>
      </c>
    </row>
    <row r="473" spans="1:17" ht="13.95" customHeight="1" outlineLevel="3" x14ac:dyDescent="0.25">
      <c r="A473" t="s">
        <v>1</v>
      </c>
      <c r="B473" s="2">
        <v>40574</v>
      </c>
      <c r="C473" s="2">
        <v>40574</v>
      </c>
      <c r="D473" s="2">
        <v>40619</v>
      </c>
      <c r="E473" s="2"/>
      <c r="F473" t="s">
        <v>2</v>
      </c>
      <c r="G473" s="3">
        <v>45</v>
      </c>
      <c r="H473" s="4">
        <v>36578.93</v>
      </c>
      <c r="I473" t="s">
        <v>3</v>
      </c>
      <c r="J473" s="6">
        <v>1400000008</v>
      </c>
      <c r="K473" t="s">
        <v>0</v>
      </c>
      <c r="L473" s="3">
        <v>3466</v>
      </c>
      <c r="M473" s="3">
        <v>3435</v>
      </c>
      <c r="N473" s="6">
        <v>140000</v>
      </c>
      <c r="O473" s="6">
        <v>1050</v>
      </c>
      <c r="P473">
        <v>-76</v>
      </c>
      <c r="Q473" t="s">
        <v>28</v>
      </c>
    </row>
    <row r="474" spans="1:17" ht="13.95" customHeight="1" outlineLevel="3" x14ac:dyDescent="0.25">
      <c r="A474" t="s">
        <v>1</v>
      </c>
      <c r="B474" s="2">
        <v>40574</v>
      </c>
      <c r="C474" s="2">
        <v>40574</v>
      </c>
      <c r="D474" s="2">
        <v>40619</v>
      </c>
      <c r="E474" s="2"/>
      <c r="F474" t="s">
        <v>2</v>
      </c>
      <c r="G474" s="3">
        <v>45</v>
      </c>
      <c r="H474" s="4">
        <v>27683.919999999998</v>
      </c>
      <c r="I474" t="s">
        <v>3</v>
      </c>
      <c r="J474" s="6">
        <v>1400000007</v>
      </c>
      <c r="K474" t="s">
        <v>0</v>
      </c>
      <c r="L474" s="3">
        <v>3466</v>
      </c>
      <c r="M474" s="3">
        <v>3435</v>
      </c>
      <c r="N474" s="6">
        <v>140000</v>
      </c>
      <c r="O474" s="6">
        <v>1050</v>
      </c>
      <c r="P474">
        <v>-76</v>
      </c>
      <c r="Q474" t="s">
        <v>28</v>
      </c>
    </row>
    <row r="475" spans="1:17" ht="13.95" customHeight="1" outlineLevel="3" x14ac:dyDescent="0.25">
      <c r="A475" t="s">
        <v>1</v>
      </c>
      <c r="B475" s="2">
        <v>40574</v>
      </c>
      <c r="C475" s="2">
        <v>40574</v>
      </c>
      <c r="D475" s="2">
        <v>40619</v>
      </c>
      <c r="E475" s="2"/>
      <c r="F475" t="s">
        <v>2</v>
      </c>
      <c r="G475" s="3">
        <v>45</v>
      </c>
      <c r="H475" s="4">
        <v>39755.64</v>
      </c>
      <c r="I475" t="s">
        <v>3</v>
      </c>
      <c r="J475" s="6">
        <v>1400000006</v>
      </c>
      <c r="K475" t="s">
        <v>0</v>
      </c>
      <c r="L475" s="3">
        <v>3466</v>
      </c>
      <c r="M475" s="3">
        <v>3435</v>
      </c>
      <c r="N475" s="6">
        <v>140000</v>
      </c>
      <c r="O475" s="6">
        <v>1050</v>
      </c>
      <c r="P475">
        <v>-76</v>
      </c>
      <c r="Q475" t="s">
        <v>28</v>
      </c>
    </row>
    <row r="476" spans="1:17" ht="13.95" customHeight="1" outlineLevel="3" x14ac:dyDescent="0.25">
      <c r="A476" t="s">
        <v>1</v>
      </c>
      <c r="B476" s="2">
        <v>40574</v>
      </c>
      <c r="C476" s="2">
        <v>40574</v>
      </c>
      <c r="D476" s="2">
        <v>40619</v>
      </c>
      <c r="E476" s="2"/>
      <c r="F476" t="s">
        <v>2</v>
      </c>
      <c r="G476" s="3">
        <v>45</v>
      </c>
      <c r="H476" s="4">
        <v>40643.26</v>
      </c>
      <c r="I476" t="s">
        <v>3</v>
      </c>
      <c r="J476" s="6">
        <v>1400000005</v>
      </c>
      <c r="K476" t="s">
        <v>0</v>
      </c>
      <c r="L476" s="3">
        <v>3466</v>
      </c>
      <c r="M476" s="3">
        <v>3435</v>
      </c>
      <c r="N476" s="6">
        <v>140000</v>
      </c>
      <c r="O476" s="6">
        <v>1050</v>
      </c>
      <c r="P476">
        <v>-76</v>
      </c>
      <c r="Q476" t="s">
        <v>28</v>
      </c>
    </row>
    <row r="477" spans="1:17" ht="13.95" customHeight="1" outlineLevel="3" x14ac:dyDescent="0.25">
      <c r="A477" t="s">
        <v>1</v>
      </c>
      <c r="B477" s="2">
        <v>40574</v>
      </c>
      <c r="C477" s="2">
        <v>40574</v>
      </c>
      <c r="D477" s="2">
        <v>40619</v>
      </c>
      <c r="E477" s="2"/>
      <c r="F477" t="s">
        <v>2</v>
      </c>
      <c r="G477" s="3">
        <v>45</v>
      </c>
      <c r="H477" s="4">
        <v>23729.08</v>
      </c>
      <c r="I477" t="s">
        <v>3</v>
      </c>
      <c r="J477" s="6">
        <v>1400000004</v>
      </c>
      <c r="K477" t="s">
        <v>0</v>
      </c>
      <c r="L477" s="3">
        <v>3466</v>
      </c>
      <c r="M477" s="3">
        <v>3435</v>
      </c>
      <c r="N477" s="6">
        <v>140000</v>
      </c>
      <c r="O477" s="6">
        <v>1050</v>
      </c>
      <c r="P477">
        <v>-76</v>
      </c>
      <c r="Q477" t="s">
        <v>28</v>
      </c>
    </row>
    <row r="478" spans="1:17" ht="13.95" customHeight="1" outlineLevel="3" x14ac:dyDescent="0.25">
      <c r="A478" t="s">
        <v>1</v>
      </c>
      <c r="B478" s="2">
        <v>40574</v>
      </c>
      <c r="C478" s="2">
        <v>40574</v>
      </c>
      <c r="D478" s="2">
        <v>40619</v>
      </c>
      <c r="E478" s="2"/>
      <c r="F478" t="s">
        <v>2</v>
      </c>
      <c r="G478" s="3">
        <v>45</v>
      </c>
      <c r="H478" s="4">
        <v>36141.49</v>
      </c>
      <c r="I478" t="s">
        <v>3</v>
      </c>
      <c r="J478" s="6">
        <v>1400000003</v>
      </c>
      <c r="K478" t="s">
        <v>0</v>
      </c>
      <c r="L478" s="3">
        <v>3466</v>
      </c>
      <c r="M478" s="3">
        <v>3435</v>
      </c>
      <c r="N478" s="6">
        <v>140000</v>
      </c>
      <c r="O478" s="6">
        <v>1050</v>
      </c>
      <c r="P478">
        <v>-76</v>
      </c>
      <c r="Q478" t="s">
        <v>28</v>
      </c>
    </row>
    <row r="479" spans="1:17" ht="13.95" customHeight="1" outlineLevel="3" x14ac:dyDescent="0.25">
      <c r="A479" t="s">
        <v>1</v>
      </c>
      <c r="B479" s="2">
        <v>40543</v>
      </c>
      <c r="C479" s="2">
        <v>40543</v>
      </c>
      <c r="D479" s="2">
        <v>40588</v>
      </c>
      <c r="E479" s="2"/>
      <c r="F479" t="s">
        <v>2</v>
      </c>
      <c r="G479" s="3">
        <v>45</v>
      </c>
      <c r="H479" s="4">
        <v>44707.59</v>
      </c>
      <c r="I479" t="s">
        <v>3</v>
      </c>
      <c r="J479" s="6">
        <v>1400000348</v>
      </c>
      <c r="K479" t="s">
        <v>0</v>
      </c>
      <c r="L479" s="3">
        <v>3497</v>
      </c>
      <c r="M479" s="3">
        <v>3466</v>
      </c>
      <c r="N479" s="6">
        <v>140000</v>
      </c>
      <c r="O479" s="6">
        <v>1050</v>
      </c>
      <c r="P479">
        <v>320</v>
      </c>
      <c r="Q479" t="s">
        <v>31</v>
      </c>
    </row>
    <row r="480" spans="1:17" ht="13.95" customHeight="1" outlineLevel="3" x14ac:dyDescent="0.25">
      <c r="A480" t="s">
        <v>1</v>
      </c>
      <c r="B480" s="2">
        <v>40543</v>
      </c>
      <c r="C480" s="2">
        <v>40543</v>
      </c>
      <c r="D480" s="2">
        <v>40588</v>
      </c>
      <c r="E480" s="2"/>
      <c r="F480" t="s">
        <v>2</v>
      </c>
      <c r="G480" s="3">
        <v>45</v>
      </c>
      <c r="H480" s="4">
        <v>23729.08</v>
      </c>
      <c r="I480" t="s">
        <v>3</v>
      </c>
      <c r="J480" s="6">
        <v>1400000347</v>
      </c>
      <c r="K480" t="s">
        <v>0</v>
      </c>
      <c r="L480" s="3">
        <v>3497</v>
      </c>
      <c r="M480" s="3">
        <v>3466</v>
      </c>
      <c r="N480" s="6">
        <v>140000</v>
      </c>
      <c r="O480" s="6">
        <v>1050</v>
      </c>
      <c r="P480">
        <v>320</v>
      </c>
      <c r="Q480" t="s">
        <v>31</v>
      </c>
    </row>
    <row r="481" spans="1:17" ht="13.95" customHeight="1" outlineLevel="3" x14ac:dyDescent="0.25">
      <c r="A481" t="s">
        <v>1</v>
      </c>
      <c r="B481" s="2">
        <v>40543</v>
      </c>
      <c r="C481" s="2">
        <v>40543</v>
      </c>
      <c r="D481" s="2">
        <v>40588</v>
      </c>
      <c r="E481" s="2"/>
      <c r="F481" t="s">
        <v>2</v>
      </c>
      <c r="G481" s="3">
        <v>45</v>
      </c>
      <c r="H481" s="4">
        <v>36141.49</v>
      </c>
      <c r="I481" t="s">
        <v>3</v>
      </c>
      <c r="J481" s="6">
        <v>1400000346</v>
      </c>
      <c r="K481" t="s">
        <v>0</v>
      </c>
      <c r="L481" s="3">
        <v>3497</v>
      </c>
      <c r="M481" s="3">
        <v>3466</v>
      </c>
      <c r="N481" s="6">
        <v>140000</v>
      </c>
      <c r="O481" s="6">
        <v>1050</v>
      </c>
      <c r="P481">
        <v>320</v>
      </c>
      <c r="Q481" t="s">
        <v>31</v>
      </c>
    </row>
    <row r="482" spans="1:17" ht="13.95" customHeight="1" outlineLevel="3" x14ac:dyDescent="0.25">
      <c r="A482" t="s">
        <v>1</v>
      </c>
      <c r="B482" s="2">
        <v>40543</v>
      </c>
      <c r="C482" s="2">
        <v>40543</v>
      </c>
      <c r="D482" s="2">
        <v>40588</v>
      </c>
      <c r="E482" s="2"/>
      <c r="F482" t="s">
        <v>2</v>
      </c>
      <c r="G482" s="3">
        <v>45</v>
      </c>
      <c r="H482" s="4">
        <v>48771.91</v>
      </c>
      <c r="I482" t="s">
        <v>3</v>
      </c>
      <c r="J482" s="6">
        <v>1400000345</v>
      </c>
      <c r="K482" t="s">
        <v>0</v>
      </c>
      <c r="L482" s="3">
        <v>3497</v>
      </c>
      <c r="M482" s="3">
        <v>3466</v>
      </c>
      <c r="N482" s="6">
        <v>140000</v>
      </c>
      <c r="O482" s="6">
        <v>1050</v>
      </c>
      <c r="P482">
        <v>320</v>
      </c>
      <c r="Q482" t="s">
        <v>31</v>
      </c>
    </row>
    <row r="483" spans="1:17" ht="13.95" customHeight="1" outlineLevel="3" x14ac:dyDescent="0.25">
      <c r="A483" t="s">
        <v>1</v>
      </c>
      <c r="B483" s="2">
        <v>40543</v>
      </c>
      <c r="C483" s="2">
        <v>40543</v>
      </c>
      <c r="D483" s="2">
        <v>40588</v>
      </c>
      <c r="E483" s="2"/>
      <c r="F483" t="s">
        <v>2</v>
      </c>
      <c r="G483" s="3">
        <v>45</v>
      </c>
      <c r="H483" s="4">
        <v>27683.919999999998</v>
      </c>
      <c r="I483" t="s">
        <v>3</v>
      </c>
      <c r="J483" s="6">
        <v>1400000344</v>
      </c>
      <c r="K483" t="s">
        <v>0</v>
      </c>
      <c r="L483" s="3">
        <v>3497</v>
      </c>
      <c r="M483" s="3">
        <v>3466</v>
      </c>
      <c r="N483" s="6">
        <v>140000</v>
      </c>
      <c r="O483" s="6">
        <v>1050</v>
      </c>
      <c r="P483">
        <v>320</v>
      </c>
      <c r="Q483" t="s">
        <v>31</v>
      </c>
    </row>
    <row r="484" spans="1:17" ht="13.95" customHeight="1" outlineLevel="3" x14ac:dyDescent="0.25">
      <c r="A484" t="s">
        <v>1</v>
      </c>
      <c r="B484" s="2">
        <v>40543</v>
      </c>
      <c r="C484" s="2">
        <v>40543</v>
      </c>
      <c r="D484" s="2">
        <v>40588</v>
      </c>
      <c r="E484" s="2"/>
      <c r="F484" t="s">
        <v>2</v>
      </c>
      <c r="G484" s="3">
        <v>45</v>
      </c>
      <c r="H484" s="4">
        <v>32527.34</v>
      </c>
      <c r="I484" t="s">
        <v>3</v>
      </c>
      <c r="J484" s="6">
        <v>1400000343</v>
      </c>
      <c r="K484" t="s">
        <v>0</v>
      </c>
      <c r="L484" s="3">
        <v>3497</v>
      </c>
      <c r="M484" s="3">
        <v>3466</v>
      </c>
      <c r="N484" s="6">
        <v>140000</v>
      </c>
      <c r="O484" s="6">
        <v>1050</v>
      </c>
      <c r="P484">
        <v>320</v>
      </c>
      <c r="Q484" t="s">
        <v>31</v>
      </c>
    </row>
    <row r="485" spans="1:17" ht="13.95" customHeight="1" outlineLevel="3" x14ac:dyDescent="0.25">
      <c r="A485" t="s">
        <v>1</v>
      </c>
      <c r="B485" s="2">
        <v>40512</v>
      </c>
      <c r="C485" s="2">
        <v>40512</v>
      </c>
      <c r="D485" s="2">
        <v>40557</v>
      </c>
      <c r="E485" s="2"/>
      <c r="F485" t="s">
        <v>2</v>
      </c>
      <c r="G485" s="3">
        <v>45</v>
      </c>
      <c r="H485" s="4">
        <v>48771.91</v>
      </c>
      <c r="I485" t="s">
        <v>3</v>
      </c>
      <c r="J485" s="6">
        <v>1400000310</v>
      </c>
      <c r="K485" t="s">
        <v>0</v>
      </c>
      <c r="L485" s="3">
        <v>3528</v>
      </c>
      <c r="M485" s="3">
        <v>3497</v>
      </c>
      <c r="N485" s="6">
        <v>140000</v>
      </c>
      <c r="O485" s="6">
        <v>1050</v>
      </c>
      <c r="P485">
        <v>351</v>
      </c>
      <c r="Q485" t="s">
        <v>31</v>
      </c>
    </row>
    <row r="486" spans="1:17" ht="13.95" customHeight="1" outlineLevel="3" x14ac:dyDescent="0.25">
      <c r="A486" t="s">
        <v>1</v>
      </c>
      <c r="B486" s="2">
        <v>40512</v>
      </c>
      <c r="C486" s="2">
        <v>40512</v>
      </c>
      <c r="D486" s="2">
        <v>40557</v>
      </c>
      <c r="E486" s="2"/>
      <c r="F486" t="s">
        <v>2</v>
      </c>
      <c r="G486" s="3">
        <v>45</v>
      </c>
      <c r="H486" s="4">
        <v>31638.77</v>
      </c>
      <c r="I486" t="s">
        <v>3</v>
      </c>
      <c r="J486" s="6">
        <v>1400000309</v>
      </c>
      <c r="K486" t="s">
        <v>0</v>
      </c>
      <c r="L486" s="3">
        <v>3528</v>
      </c>
      <c r="M486" s="3">
        <v>3497</v>
      </c>
      <c r="N486" s="6">
        <v>140000</v>
      </c>
      <c r="O486" s="6">
        <v>1050</v>
      </c>
      <c r="P486">
        <v>351</v>
      </c>
      <c r="Q486" t="s">
        <v>31</v>
      </c>
    </row>
    <row r="487" spans="1:17" ht="13.95" customHeight="1" outlineLevel="3" x14ac:dyDescent="0.25">
      <c r="A487" t="s">
        <v>1</v>
      </c>
      <c r="B487" s="2">
        <v>40512</v>
      </c>
      <c r="C487" s="2">
        <v>40512</v>
      </c>
      <c r="D487" s="2">
        <v>40557</v>
      </c>
      <c r="E487" s="2"/>
      <c r="F487" t="s">
        <v>2</v>
      </c>
      <c r="G487" s="3">
        <v>45</v>
      </c>
      <c r="H487" s="4">
        <v>32527.34</v>
      </c>
      <c r="I487" t="s">
        <v>3</v>
      </c>
      <c r="J487" s="6">
        <v>1400000308</v>
      </c>
      <c r="K487" t="s">
        <v>0</v>
      </c>
      <c r="L487" s="3">
        <v>3528</v>
      </c>
      <c r="M487" s="3">
        <v>3497</v>
      </c>
      <c r="N487" s="6">
        <v>140000</v>
      </c>
      <c r="O487" s="6">
        <v>1050</v>
      </c>
      <c r="P487">
        <v>351</v>
      </c>
      <c r="Q487" t="s">
        <v>31</v>
      </c>
    </row>
    <row r="488" spans="1:17" ht="13.95" customHeight="1" outlineLevel="3" x14ac:dyDescent="0.25">
      <c r="A488" t="s">
        <v>1</v>
      </c>
      <c r="B488" s="2">
        <v>40512</v>
      </c>
      <c r="C488" s="2">
        <v>40512</v>
      </c>
      <c r="D488" s="2">
        <v>40557</v>
      </c>
      <c r="E488" s="2"/>
      <c r="F488" t="s">
        <v>2</v>
      </c>
      <c r="G488" s="3">
        <v>45</v>
      </c>
      <c r="H488" s="4">
        <v>52836.24</v>
      </c>
      <c r="I488" t="s">
        <v>3</v>
      </c>
      <c r="J488" s="6">
        <v>1400000307</v>
      </c>
      <c r="K488" t="s">
        <v>0</v>
      </c>
      <c r="L488" s="3">
        <v>3528</v>
      </c>
      <c r="M488" s="3">
        <v>3497</v>
      </c>
      <c r="N488" s="6">
        <v>140000</v>
      </c>
      <c r="O488" s="6">
        <v>1050</v>
      </c>
      <c r="P488">
        <v>351</v>
      </c>
      <c r="Q488" t="s">
        <v>31</v>
      </c>
    </row>
    <row r="489" spans="1:17" ht="13.95" customHeight="1" outlineLevel="3" x14ac:dyDescent="0.25">
      <c r="A489" t="s">
        <v>1</v>
      </c>
      <c r="B489" s="2">
        <v>40512</v>
      </c>
      <c r="C489" s="2">
        <v>40512</v>
      </c>
      <c r="D489" s="2">
        <v>40557</v>
      </c>
      <c r="E489" s="2"/>
      <c r="F489" t="s">
        <v>2</v>
      </c>
      <c r="G489" s="3">
        <v>45</v>
      </c>
      <c r="H489" s="4">
        <v>35593.61</v>
      </c>
      <c r="I489" t="s">
        <v>3</v>
      </c>
      <c r="J489" s="6">
        <v>1400000306</v>
      </c>
      <c r="K489" t="s">
        <v>0</v>
      </c>
      <c r="L489" s="3">
        <v>3528</v>
      </c>
      <c r="M489" s="3">
        <v>3497</v>
      </c>
      <c r="N489" s="6">
        <v>140000</v>
      </c>
      <c r="O489" s="6">
        <v>1050</v>
      </c>
      <c r="P489">
        <v>351</v>
      </c>
      <c r="Q489" t="s">
        <v>31</v>
      </c>
    </row>
    <row r="490" spans="1:17" ht="13.95" customHeight="1" outlineLevel="3" x14ac:dyDescent="0.25">
      <c r="A490" t="s">
        <v>1</v>
      </c>
      <c r="B490" s="2">
        <v>40512</v>
      </c>
      <c r="C490" s="2">
        <v>40512</v>
      </c>
      <c r="D490" s="2">
        <v>40557</v>
      </c>
      <c r="E490" s="2"/>
      <c r="F490" t="s">
        <v>2</v>
      </c>
      <c r="G490" s="3">
        <v>45</v>
      </c>
      <c r="H490" s="4">
        <v>28913.19</v>
      </c>
      <c r="I490" t="s">
        <v>3</v>
      </c>
      <c r="J490" s="6">
        <v>1400000305</v>
      </c>
      <c r="K490" t="s">
        <v>0</v>
      </c>
      <c r="L490" s="3">
        <v>3528</v>
      </c>
      <c r="M490" s="3">
        <v>3497</v>
      </c>
      <c r="N490" s="6">
        <v>140000</v>
      </c>
      <c r="O490" s="6">
        <v>1050</v>
      </c>
      <c r="P490">
        <v>351</v>
      </c>
      <c r="Q490" t="s">
        <v>31</v>
      </c>
    </row>
    <row r="491" spans="1:17" ht="13.95" customHeight="1" outlineLevel="3" x14ac:dyDescent="0.25">
      <c r="A491" t="s">
        <v>1</v>
      </c>
      <c r="B491" s="2">
        <v>40482</v>
      </c>
      <c r="C491" s="2">
        <v>40482</v>
      </c>
      <c r="D491" s="2">
        <v>40527</v>
      </c>
      <c r="E491" s="2"/>
      <c r="F491" t="s">
        <v>2</v>
      </c>
      <c r="G491" s="3">
        <v>45</v>
      </c>
      <c r="H491" s="4">
        <v>52836.24</v>
      </c>
      <c r="I491" t="s">
        <v>3</v>
      </c>
      <c r="J491" s="6">
        <v>1400000279</v>
      </c>
      <c r="K491" t="s">
        <v>0</v>
      </c>
      <c r="L491" s="3">
        <v>3558</v>
      </c>
      <c r="M491" s="3">
        <v>3527</v>
      </c>
      <c r="N491" s="6">
        <v>140000</v>
      </c>
      <c r="O491" s="6">
        <v>1050</v>
      </c>
      <c r="P491">
        <v>381</v>
      </c>
      <c r="Q491" t="s">
        <v>32</v>
      </c>
    </row>
    <row r="492" spans="1:17" ht="13.95" customHeight="1" outlineLevel="3" x14ac:dyDescent="0.25">
      <c r="A492" t="s">
        <v>1</v>
      </c>
      <c r="B492" s="2">
        <v>40268</v>
      </c>
      <c r="C492" s="2">
        <v>40268</v>
      </c>
      <c r="D492" s="2">
        <v>40313</v>
      </c>
      <c r="E492" s="2"/>
      <c r="F492" t="s">
        <v>2</v>
      </c>
      <c r="G492" s="3">
        <v>45</v>
      </c>
      <c r="H492" s="4">
        <v>46983.94</v>
      </c>
      <c r="I492" t="s">
        <v>3</v>
      </c>
      <c r="J492" s="6">
        <v>1400000021</v>
      </c>
      <c r="K492" t="s">
        <v>0</v>
      </c>
      <c r="L492" s="3">
        <v>3772</v>
      </c>
      <c r="M492" s="3">
        <v>3741</v>
      </c>
      <c r="N492" s="6">
        <v>140000</v>
      </c>
      <c r="O492" s="6">
        <v>1050</v>
      </c>
      <c r="P492">
        <v>-136</v>
      </c>
      <c r="Q492" t="s">
        <v>28</v>
      </c>
    </row>
    <row r="493" spans="1:17" ht="13.95" customHeight="1" outlineLevel="3" x14ac:dyDescent="0.25">
      <c r="A493" t="s">
        <v>1</v>
      </c>
      <c r="B493" s="2">
        <v>40237</v>
      </c>
      <c r="C493" s="2">
        <v>40237</v>
      </c>
      <c r="D493" s="2">
        <v>40282</v>
      </c>
      <c r="E493" s="2"/>
      <c r="F493" t="s">
        <v>2</v>
      </c>
      <c r="G493" s="3">
        <v>45</v>
      </c>
      <c r="H493" s="4">
        <v>40643.26</v>
      </c>
      <c r="I493" t="s">
        <v>3</v>
      </c>
      <c r="J493" s="6">
        <v>1400000017</v>
      </c>
      <c r="K493" t="s">
        <v>0</v>
      </c>
      <c r="L493" s="3">
        <v>3803</v>
      </c>
      <c r="M493" s="3">
        <v>3772</v>
      </c>
      <c r="N493" s="6">
        <v>140000</v>
      </c>
      <c r="O493" s="6">
        <v>1050</v>
      </c>
      <c r="P493">
        <v>-105</v>
      </c>
      <c r="Q493" t="s">
        <v>28</v>
      </c>
    </row>
    <row r="494" spans="1:17" ht="13.95" customHeight="1" outlineLevel="3" x14ac:dyDescent="0.25">
      <c r="A494" t="s">
        <v>1</v>
      </c>
      <c r="B494" s="2">
        <v>40237</v>
      </c>
      <c r="C494" s="2">
        <v>40237</v>
      </c>
      <c r="D494" s="2">
        <v>40282</v>
      </c>
      <c r="E494" s="2"/>
      <c r="F494" t="s">
        <v>2</v>
      </c>
      <c r="G494" s="3">
        <v>45</v>
      </c>
      <c r="H494" s="4">
        <v>31638.77</v>
      </c>
      <c r="I494" t="s">
        <v>3</v>
      </c>
      <c r="J494" s="6">
        <v>1400000016</v>
      </c>
      <c r="K494" t="s">
        <v>0</v>
      </c>
      <c r="L494" s="3">
        <v>3803</v>
      </c>
      <c r="M494" s="3">
        <v>3772</v>
      </c>
      <c r="N494" s="6">
        <v>140000</v>
      </c>
      <c r="O494" s="6">
        <v>1050</v>
      </c>
      <c r="P494">
        <v>-105</v>
      </c>
      <c r="Q494" t="s">
        <v>28</v>
      </c>
    </row>
    <row r="495" spans="1:17" ht="13.95" customHeight="1" outlineLevel="3" x14ac:dyDescent="0.25">
      <c r="A495" t="s">
        <v>1</v>
      </c>
      <c r="B495" s="2">
        <v>40237</v>
      </c>
      <c r="C495" s="2">
        <v>40237</v>
      </c>
      <c r="D495" s="2">
        <v>40282</v>
      </c>
      <c r="E495" s="2"/>
      <c r="F495" t="s">
        <v>2</v>
      </c>
      <c r="G495" s="3">
        <v>45</v>
      </c>
      <c r="H495" s="4">
        <v>43369.79</v>
      </c>
      <c r="I495" t="s">
        <v>3</v>
      </c>
      <c r="J495" s="6">
        <v>1400000015</v>
      </c>
      <c r="K495" t="s">
        <v>0</v>
      </c>
      <c r="L495" s="3">
        <v>3803</v>
      </c>
      <c r="M495" s="3">
        <v>3772</v>
      </c>
      <c r="N495" s="6">
        <v>140000</v>
      </c>
      <c r="O495" s="6">
        <v>1050</v>
      </c>
      <c r="P495">
        <v>-105</v>
      </c>
      <c r="Q495" t="s">
        <v>28</v>
      </c>
    </row>
    <row r="496" spans="1:17" ht="13.95" customHeight="1" outlineLevel="3" x14ac:dyDescent="0.25">
      <c r="A496" t="s">
        <v>1</v>
      </c>
      <c r="B496" s="2">
        <v>40237</v>
      </c>
      <c r="C496" s="2">
        <v>40237</v>
      </c>
      <c r="D496" s="2">
        <v>40282</v>
      </c>
      <c r="E496" s="2"/>
      <c r="F496" t="s">
        <v>2</v>
      </c>
      <c r="G496" s="3">
        <v>45</v>
      </c>
      <c r="H496" s="4">
        <v>36578.93</v>
      </c>
      <c r="I496" t="s">
        <v>3</v>
      </c>
      <c r="J496" s="6">
        <v>1400000014</v>
      </c>
      <c r="K496" t="s">
        <v>0</v>
      </c>
      <c r="L496" s="3">
        <v>3803</v>
      </c>
      <c r="M496" s="3">
        <v>3772</v>
      </c>
      <c r="N496" s="6">
        <v>140000</v>
      </c>
      <c r="O496" s="6">
        <v>1050</v>
      </c>
      <c r="P496">
        <v>-105</v>
      </c>
      <c r="Q496" t="s">
        <v>28</v>
      </c>
    </row>
    <row r="497" spans="1:17" ht="13.95" customHeight="1" outlineLevel="3" x14ac:dyDescent="0.25">
      <c r="A497" t="s">
        <v>1</v>
      </c>
      <c r="B497" s="2">
        <v>40237</v>
      </c>
      <c r="C497" s="2">
        <v>40237</v>
      </c>
      <c r="D497" s="2">
        <v>40282</v>
      </c>
      <c r="E497" s="2"/>
      <c r="F497" t="s">
        <v>2</v>
      </c>
      <c r="G497" s="3">
        <v>45</v>
      </c>
      <c r="H497" s="4">
        <v>23729.08</v>
      </c>
      <c r="I497" t="s">
        <v>3</v>
      </c>
      <c r="J497" s="6">
        <v>1400000013</v>
      </c>
      <c r="K497" t="s">
        <v>0</v>
      </c>
      <c r="L497" s="3">
        <v>3803</v>
      </c>
      <c r="M497" s="3">
        <v>3772</v>
      </c>
      <c r="N497" s="6">
        <v>140000</v>
      </c>
      <c r="O497" s="6">
        <v>1050</v>
      </c>
      <c r="P497">
        <v>-105</v>
      </c>
      <c r="Q497" t="s">
        <v>28</v>
      </c>
    </row>
    <row r="498" spans="1:17" ht="13.95" customHeight="1" outlineLevel="3" x14ac:dyDescent="0.25">
      <c r="A498" t="s">
        <v>1</v>
      </c>
      <c r="B498" s="2">
        <v>40237</v>
      </c>
      <c r="C498" s="2">
        <v>40237</v>
      </c>
      <c r="D498" s="2">
        <v>40282</v>
      </c>
      <c r="E498" s="2"/>
      <c r="F498" t="s">
        <v>2</v>
      </c>
      <c r="G498" s="3">
        <v>45</v>
      </c>
      <c r="H498" s="4">
        <v>50598.09</v>
      </c>
      <c r="I498" t="s">
        <v>3</v>
      </c>
      <c r="J498" s="6">
        <v>1400000012</v>
      </c>
      <c r="K498" t="s">
        <v>0</v>
      </c>
      <c r="L498" s="3">
        <v>3803</v>
      </c>
      <c r="M498" s="3">
        <v>3772</v>
      </c>
      <c r="N498" s="6">
        <v>140000</v>
      </c>
      <c r="O498" s="6">
        <v>1050</v>
      </c>
      <c r="P498">
        <v>1031</v>
      </c>
      <c r="Q498" t="s">
        <v>32</v>
      </c>
    </row>
    <row r="499" spans="1:17" ht="13.95" customHeight="1" outlineLevel="3" x14ac:dyDescent="0.25">
      <c r="A499" t="s">
        <v>1</v>
      </c>
      <c r="B499" s="2">
        <v>40209</v>
      </c>
      <c r="C499" s="2">
        <v>40209</v>
      </c>
      <c r="D499" s="2">
        <v>40254</v>
      </c>
      <c r="E499" s="2"/>
      <c r="F499" t="s">
        <v>2</v>
      </c>
      <c r="G499" s="3">
        <v>45</v>
      </c>
      <c r="H499" s="4">
        <v>36578.93</v>
      </c>
      <c r="I499" t="s">
        <v>3</v>
      </c>
      <c r="J499" s="6">
        <v>1400000008</v>
      </c>
      <c r="K499" t="s">
        <v>0</v>
      </c>
      <c r="L499" s="3">
        <v>3831</v>
      </c>
      <c r="M499" s="3">
        <v>3800</v>
      </c>
      <c r="N499" s="6">
        <v>140000</v>
      </c>
      <c r="O499" s="6">
        <v>1050</v>
      </c>
      <c r="P499">
        <v>-76</v>
      </c>
      <c r="Q499" t="s">
        <v>28</v>
      </c>
    </row>
    <row r="500" spans="1:17" ht="13.95" customHeight="1" outlineLevel="3" x14ac:dyDescent="0.25">
      <c r="A500" t="s">
        <v>1</v>
      </c>
      <c r="B500" s="2">
        <v>40209</v>
      </c>
      <c r="C500" s="2">
        <v>40209</v>
      </c>
      <c r="D500" s="2">
        <v>40254</v>
      </c>
      <c r="E500" s="2"/>
      <c r="F500" t="s">
        <v>2</v>
      </c>
      <c r="G500" s="3">
        <v>45</v>
      </c>
      <c r="H500" s="4">
        <v>27683.919999999998</v>
      </c>
      <c r="I500" t="s">
        <v>3</v>
      </c>
      <c r="J500" s="6">
        <v>1400000007</v>
      </c>
      <c r="K500" t="s">
        <v>0</v>
      </c>
      <c r="L500" s="3">
        <v>3831</v>
      </c>
      <c r="M500" s="3">
        <v>3800</v>
      </c>
      <c r="N500" s="6">
        <v>140000</v>
      </c>
      <c r="O500" s="6">
        <v>1050</v>
      </c>
      <c r="P500">
        <v>-76</v>
      </c>
      <c r="Q500" t="s">
        <v>28</v>
      </c>
    </row>
    <row r="501" spans="1:17" ht="13.95" customHeight="1" outlineLevel="3" x14ac:dyDescent="0.25">
      <c r="A501" t="s">
        <v>1</v>
      </c>
      <c r="B501" s="2">
        <v>40209</v>
      </c>
      <c r="C501" s="2">
        <v>40209</v>
      </c>
      <c r="D501" s="2">
        <v>40254</v>
      </c>
      <c r="E501" s="2"/>
      <c r="F501" t="s">
        <v>2</v>
      </c>
      <c r="G501" s="3">
        <v>45</v>
      </c>
      <c r="H501" s="4">
        <v>39755.64</v>
      </c>
      <c r="I501" t="s">
        <v>3</v>
      </c>
      <c r="J501" s="6">
        <v>1400000006</v>
      </c>
      <c r="K501" t="s">
        <v>0</v>
      </c>
      <c r="L501" s="3">
        <v>3831</v>
      </c>
      <c r="M501" s="3">
        <v>3800</v>
      </c>
      <c r="N501" s="6">
        <v>140000</v>
      </c>
      <c r="O501" s="6">
        <v>1050</v>
      </c>
      <c r="P501">
        <v>-76</v>
      </c>
      <c r="Q501" t="s">
        <v>28</v>
      </c>
    </row>
    <row r="502" spans="1:17" ht="13.95" customHeight="1" outlineLevel="3" x14ac:dyDescent="0.25">
      <c r="A502" t="s">
        <v>1</v>
      </c>
      <c r="B502" s="2">
        <v>40209</v>
      </c>
      <c r="C502" s="2">
        <v>40209</v>
      </c>
      <c r="D502" s="2">
        <v>40254</v>
      </c>
      <c r="E502" s="2"/>
      <c r="F502" t="s">
        <v>2</v>
      </c>
      <c r="G502" s="3">
        <v>45</v>
      </c>
      <c r="H502" s="4">
        <v>40643.26</v>
      </c>
      <c r="I502" t="s">
        <v>3</v>
      </c>
      <c r="J502" s="6">
        <v>1400000005</v>
      </c>
      <c r="K502" t="s">
        <v>0</v>
      </c>
      <c r="L502" s="3">
        <v>3831</v>
      </c>
      <c r="M502" s="3">
        <v>3800</v>
      </c>
      <c r="N502" s="6">
        <v>140000</v>
      </c>
      <c r="O502" s="6">
        <v>1050</v>
      </c>
      <c r="P502">
        <v>-76</v>
      </c>
      <c r="Q502" t="s">
        <v>28</v>
      </c>
    </row>
    <row r="503" spans="1:17" ht="13.95" customHeight="1" outlineLevel="3" x14ac:dyDescent="0.25">
      <c r="A503" t="s">
        <v>1</v>
      </c>
      <c r="B503" s="2">
        <v>40209</v>
      </c>
      <c r="C503" s="2">
        <v>40209</v>
      </c>
      <c r="D503" s="2">
        <v>40254</v>
      </c>
      <c r="E503" s="2"/>
      <c r="F503" t="s">
        <v>2</v>
      </c>
      <c r="G503" s="3">
        <v>45</v>
      </c>
      <c r="H503" s="4">
        <v>23729.08</v>
      </c>
      <c r="I503" t="s">
        <v>3</v>
      </c>
      <c r="J503" s="6">
        <v>1400000004</v>
      </c>
      <c r="K503" t="s">
        <v>0</v>
      </c>
      <c r="L503" s="3">
        <v>3831</v>
      </c>
      <c r="M503" s="3">
        <v>3800</v>
      </c>
      <c r="N503" s="6">
        <v>140000</v>
      </c>
      <c r="O503" s="6">
        <v>1050</v>
      </c>
      <c r="P503">
        <v>-76</v>
      </c>
      <c r="Q503" t="s">
        <v>28</v>
      </c>
    </row>
    <row r="504" spans="1:17" ht="13.95" customHeight="1" outlineLevel="3" x14ac:dyDescent="0.25">
      <c r="A504" t="s">
        <v>1</v>
      </c>
      <c r="B504" s="2">
        <v>40209</v>
      </c>
      <c r="C504" s="2">
        <v>40209</v>
      </c>
      <c r="D504" s="2">
        <v>40254</v>
      </c>
      <c r="E504" s="2"/>
      <c r="F504" t="s">
        <v>2</v>
      </c>
      <c r="G504" s="3">
        <v>45</v>
      </c>
      <c r="H504" s="4">
        <v>36141.49</v>
      </c>
      <c r="I504" t="s">
        <v>3</v>
      </c>
      <c r="J504" s="6">
        <v>1400000003</v>
      </c>
      <c r="K504" t="s">
        <v>0</v>
      </c>
      <c r="L504" s="3">
        <v>3831</v>
      </c>
      <c r="M504" s="3">
        <v>3800</v>
      </c>
      <c r="N504" s="6">
        <v>140000</v>
      </c>
      <c r="O504" s="6">
        <v>1050</v>
      </c>
      <c r="P504">
        <v>-76</v>
      </c>
      <c r="Q504" t="s">
        <v>28</v>
      </c>
    </row>
    <row r="505" spans="1:17" ht="13.95" customHeight="1" outlineLevel="3" x14ac:dyDescent="0.25">
      <c r="A505" t="s">
        <v>1</v>
      </c>
      <c r="B505" s="2">
        <v>40178</v>
      </c>
      <c r="C505" s="2">
        <v>40178</v>
      </c>
      <c r="D505" s="2">
        <v>40223</v>
      </c>
      <c r="E505" s="2"/>
      <c r="F505" t="s">
        <v>2</v>
      </c>
      <c r="G505" s="3">
        <v>45</v>
      </c>
      <c r="H505" s="4">
        <v>44707.59</v>
      </c>
      <c r="I505" t="s">
        <v>3</v>
      </c>
      <c r="J505" s="6">
        <v>1400000187</v>
      </c>
      <c r="K505" t="s">
        <v>0</v>
      </c>
      <c r="L505" s="3">
        <v>3862</v>
      </c>
      <c r="M505" s="3">
        <v>3831</v>
      </c>
      <c r="N505" s="6">
        <v>140000</v>
      </c>
      <c r="O505" s="6">
        <v>1050</v>
      </c>
      <c r="P505">
        <v>685</v>
      </c>
      <c r="Q505" t="s">
        <v>32</v>
      </c>
    </row>
    <row r="506" spans="1:17" ht="13.95" customHeight="1" outlineLevel="3" x14ac:dyDescent="0.25">
      <c r="A506" t="s">
        <v>1</v>
      </c>
      <c r="B506" s="2">
        <v>40178</v>
      </c>
      <c r="C506" s="2">
        <v>40178</v>
      </c>
      <c r="D506" s="2">
        <v>40223</v>
      </c>
      <c r="E506" s="2"/>
      <c r="F506" t="s">
        <v>2</v>
      </c>
      <c r="G506" s="3">
        <v>45</v>
      </c>
      <c r="H506" s="4">
        <v>23729.08</v>
      </c>
      <c r="I506" t="s">
        <v>3</v>
      </c>
      <c r="J506" s="6">
        <v>1400000186</v>
      </c>
      <c r="K506" t="s">
        <v>0</v>
      </c>
      <c r="L506" s="3">
        <v>3862</v>
      </c>
      <c r="M506" s="3">
        <v>3831</v>
      </c>
      <c r="N506" s="6">
        <v>140000</v>
      </c>
      <c r="O506" s="6">
        <v>1050</v>
      </c>
      <c r="P506">
        <v>685</v>
      </c>
      <c r="Q506" t="s">
        <v>32</v>
      </c>
    </row>
    <row r="507" spans="1:17" ht="13.95" customHeight="1" outlineLevel="3" x14ac:dyDescent="0.25">
      <c r="A507" t="s">
        <v>1</v>
      </c>
      <c r="B507" s="2">
        <v>40178</v>
      </c>
      <c r="C507" s="2">
        <v>40178</v>
      </c>
      <c r="D507" s="2">
        <v>40223</v>
      </c>
      <c r="E507" s="2"/>
      <c r="F507" t="s">
        <v>2</v>
      </c>
      <c r="G507" s="3">
        <v>45</v>
      </c>
      <c r="H507" s="4">
        <v>36141.49</v>
      </c>
      <c r="I507" t="s">
        <v>3</v>
      </c>
      <c r="J507" s="6">
        <v>1400000185</v>
      </c>
      <c r="K507" t="s">
        <v>0</v>
      </c>
      <c r="L507" s="3">
        <v>3862</v>
      </c>
      <c r="M507" s="3">
        <v>3831</v>
      </c>
      <c r="N507" s="6">
        <v>140000</v>
      </c>
      <c r="O507" s="6">
        <v>1050</v>
      </c>
      <c r="P507">
        <v>685</v>
      </c>
      <c r="Q507" t="s">
        <v>32</v>
      </c>
    </row>
    <row r="508" spans="1:17" ht="13.95" customHeight="1" outlineLevel="3" x14ac:dyDescent="0.25">
      <c r="A508" t="s">
        <v>1</v>
      </c>
      <c r="B508" s="2">
        <v>40178</v>
      </c>
      <c r="C508" s="2">
        <v>40178</v>
      </c>
      <c r="D508" s="2">
        <v>40223</v>
      </c>
      <c r="E508" s="2"/>
      <c r="F508" t="s">
        <v>2</v>
      </c>
      <c r="G508" s="3">
        <v>45</v>
      </c>
      <c r="H508" s="4">
        <v>48771.91</v>
      </c>
      <c r="I508" t="s">
        <v>3</v>
      </c>
      <c r="J508" s="6">
        <v>1400000184</v>
      </c>
      <c r="K508" t="s">
        <v>0</v>
      </c>
      <c r="L508" s="3">
        <v>3862</v>
      </c>
      <c r="M508" s="3">
        <v>3831</v>
      </c>
      <c r="N508" s="6">
        <v>140000</v>
      </c>
      <c r="O508" s="6">
        <v>1050</v>
      </c>
      <c r="P508">
        <v>685</v>
      </c>
      <c r="Q508" t="s">
        <v>32</v>
      </c>
    </row>
    <row r="509" spans="1:17" ht="13.95" customHeight="1" outlineLevel="3" x14ac:dyDescent="0.25">
      <c r="A509" t="s">
        <v>1</v>
      </c>
      <c r="B509" s="2">
        <v>40178</v>
      </c>
      <c r="C509" s="2">
        <v>40178</v>
      </c>
      <c r="D509" s="2">
        <v>40223</v>
      </c>
      <c r="E509" s="2"/>
      <c r="F509" t="s">
        <v>2</v>
      </c>
      <c r="G509" s="3">
        <v>45</v>
      </c>
      <c r="H509" s="4">
        <v>27683.919999999998</v>
      </c>
      <c r="I509" t="s">
        <v>3</v>
      </c>
      <c r="J509" s="6">
        <v>1400000183</v>
      </c>
      <c r="K509" t="s">
        <v>0</v>
      </c>
      <c r="L509" s="3">
        <v>3862</v>
      </c>
      <c r="M509" s="3">
        <v>3831</v>
      </c>
      <c r="N509" s="6">
        <v>140000</v>
      </c>
      <c r="O509" s="6">
        <v>1050</v>
      </c>
      <c r="P509">
        <v>685</v>
      </c>
      <c r="Q509" t="s">
        <v>32</v>
      </c>
    </row>
    <row r="510" spans="1:17" ht="13.95" customHeight="1" outlineLevel="3" x14ac:dyDescent="0.25">
      <c r="A510" t="s">
        <v>1</v>
      </c>
      <c r="B510" s="2">
        <v>40178</v>
      </c>
      <c r="C510" s="2">
        <v>40178</v>
      </c>
      <c r="D510" s="2">
        <v>40223</v>
      </c>
      <c r="E510" s="2"/>
      <c r="F510" t="s">
        <v>2</v>
      </c>
      <c r="G510" s="3">
        <v>45</v>
      </c>
      <c r="H510" s="4">
        <v>32527.34</v>
      </c>
      <c r="I510" t="s">
        <v>3</v>
      </c>
      <c r="J510" s="6">
        <v>1400000182</v>
      </c>
      <c r="K510" t="s">
        <v>0</v>
      </c>
      <c r="L510" s="3">
        <v>3862</v>
      </c>
      <c r="M510" s="3">
        <v>3831</v>
      </c>
      <c r="N510" s="6">
        <v>140000</v>
      </c>
      <c r="O510" s="6">
        <v>1050</v>
      </c>
      <c r="P510">
        <v>685</v>
      </c>
      <c r="Q510" t="s">
        <v>32</v>
      </c>
    </row>
    <row r="511" spans="1:17" ht="13.95" customHeight="1" outlineLevel="3" x14ac:dyDescent="0.25">
      <c r="A511" t="s">
        <v>1</v>
      </c>
      <c r="B511" s="2">
        <v>40147</v>
      </c>
      <c r="C511" s="2">
        <v>40147</v>
      </c>
      <c r="D511" s="2">
        <v>40192</v>
      </c>
      <c r="E511" s="2"/>
      <c r="F511" t="s">
        <v>2</v>
      </c>
      <c r="G511" s="3">
        <v>45</v>
      </c>
      <c r="H511" s="4">
        <v>48771.91</v>
      </c>
      <c r="I511" t="s">
        <v>3</v>
      </c>
      <c r="J511" s="6">
        <v>1400000178</v>
      </c>
      <c r="K511" t="s">
        <v>0</v>
      </c>
      <c r="L511" s="3">
        <v>3893</v>
      </c>
      <c r="M511" s="3">
        <v>3862</v>
      </c>
      <c r="N511" s="6">
        <v>140000</v>
      </c>
      <c r="O511" s="6">
        <v>1050</v>
      </c>
      <c r="P511">
        <v>716</v>
      </c>
      <c r="Q511" t="s">
        <v>32</v>
      </c>
    </row>
    <row r="512" spans="1:17" ht="13.95" customHeight="1" outlineLevel="3" x14ac:dyDescent="0.25">
      <c r="A512" t="s">
        <v>1</v>
      </c>
      <c r="B512" s="2">
        <v>40147</v>
      </c>
      <c r="C512" s="2">
        <v>40147</v>
      </c>
      <c r="D512" s="2">
        <v>40192</v>
      </c>
      <c r="E512" s="2"/>
      <c r="F512" t="s">
        <v>2</v>
      </c>
      <c r="G512" s="3">
        <v>45</v>
      </c>
      <c r="H512" s="4">
        <v>31638.77</v>
      </c>
      <c r="I512" t="s">
        <v>3</v>
      </c>
      <c r="J512" s="6">
        <v>1400000177</v>
      </c>
      <c r="K512" t="s">
        <v>0</v>
      </c>
      <c r="L512" s="3">
        <v>3893</v>
      </c>
      <c r="M512" s="3">
        <v>3862</v>
      </c>
      <c r="N512" s="6">
        <v>140000</v>
      </c>
      <c r="O512" s="6">
        <v>1050</v>
      </c>
      <c r="P512">
        <v>716</v>
      </c>
      <c r="Q512" t="s">
        <v>32</v>
      </c>
    </row>
    <row r="513" spans="1:17" ht="13.95" customHeight="1" outlineLevel="3" x14ac:dyDescent="0.25">
      <c r="A513" t="s">
        <v>1</v>
      </c>
      <c r="B513" s="2">
        <v>40147</v>
      </c>
      <c r="C513" s="2">
        <v>40147</v>
      </c>
      <c r="D513" s="2">
        <v>40192</v>
      </c>
      <c r="E513" s="2"/>
      <c r="F513" t="s">
        <v>2</v>
      </c>
      <c r="G513" s="3">
        <v>45</v>
      </c>
      <c r="H513" s="4">
        <v>32527.34</v>
      </c>
      <c r="I513" t="s">
        <v>3</v>
      </c>
      <c r="J513" s="6">
        <v>1400000176</v>
      </c>
      <c r="K513" t="s">
        <v>0</v>
      </c>
      <c r="L513" s="3">
        <v>3893</v>
      </c>
      <c r="M513" s="3">
        <v>3862</v>
      </c>
      <c r="N513" s="6">
        <v>140000</v>
      </c>
      <c r="O513" s="6">
        <v>1050</v>
      </c>
      <c r="P513">
        <v>716</v>
      </c>
      <c r="Q513" t="s">
        <v>32</v>
      </c>
    </row>
    <row r="514" spans="1:17" ht="13.95" customHeight="1" outlineLevel="3" x14ac:dyDescent="0.25">
      <c r="A514" t="s">
        <v>1</v>
      </c>
      <c r="B514" s="2">
        <v>40268</v>
      </c>
      <c r="C514" s="2">
        <v>40268</v>
      </c>
      <c r="D514" s="2">
        <v>40313</v>
      </c>
      <c r="E514" s="2"/>
      <c r="F514" t="s">
        <v>2</v>
      </c>
      <c r="G514" s="3">
        <v>45</v>
      </c>
      <c r="H514" s="4">
        <v>31638.77</v>
      </c>
      <c r="I514" t="s">
        <v>3</v>
      </c>
      <c r="J514" s="6">
        <v>1400000022</v>
      </c>
      <c r="K514" t="s">
        <v>0</v>
      </c>
      <c r="L514" s="3">
        <v>3772</v>
      </c>
      <c r="M514" s="3">
        <v>3741</v>
      </c>
      <c r="N514" s="6">
        <v>140000</v>
      </c>
      <c r="O514" s="6">
        <v>1050</v>
      </c>
      <c r="P514">
        <v>-136</v>
      </c>
      <c r="Q514" t="s">
        <v>28</v>
      </c>
    </row>
    <row r="515" spans="1:17" ht="13.95" customHeight="1" outlineLevel="3" x14ac:dyDescent="0.25">
      <c r="A515" t="s">
        <v>1</v>
      </c>
      <c r="B515" s="2">
        <v>40359</v>
      </c>
      <c r="C515" s="2">
        <v>40359</v>
      </c>
      <c r="D515" s="2">
        <v>40404</v>
      </c>
      <c r="E515" s="2"/>
      <c r="F515" t="s">
        <v>2</v>
      </c>
      <c r="G515" s="3">
        <v>45</v>
      </c>
      <c r="H515" s="4">
        <v>16257.3</v>
      </c>
      <c r="I515" t="s">
        <v>3</v>
      </c>
      <c r="J515" s="6">
        <v>1400000053</v>
      </c>
      <c r="K515" t="s">
        <v>0</v>
      </c>
      <c r="L515" s="3">
        <v>3681</v>
      </c>
      <c r="M515" s="3">
        <v>3650</v>
      </c>
      <c r="N515" s="6">
        <v>140000</v>
      </c>
      <c r="O515" s="6">
        <v>1050</v>
      </c>
      <c r="P515">
        <v>139</v>
      </c>
      <c r="Q515" t="s">
        <v>30</v>
      </c>
    </row>
    <row r="516" spans="1:17" ht="13.95" customHeight="1" outlineLevel="3" x14ac:dyDescent="0.25">
      <c r="A516" t="s">
        <v>1</v>
      </c>
      <c r="B516" s="2">
        <v>40359</v>
      </c>
      <c r="C516" s="2">
        <v>40359</v>
      </c>
      <c r="D516" s="2">
        <v>40404</v>
      </c>
      <c r="E516" s="2"/>
      <c r="F516" t="s">
        <v>2</v>
      </c>
      <c r="G516" s="3">
        <v>45</v>
      </c>
      <c r="H516" s="4">
        <v>59322.69</v>
      </c>
      <c r="I516" t="s">
        <v>3</v>
      </c>
      <c r="J516" s="6">
        <v>1400000052</v>
      </c>
      <c r="K516" t="s">
        <v>0</v>
      </c>
      <c r="L516" s="3">
        <v>3681</v>
      </c>
      <c r="M516" s="3">
        <v>3650</v>
      </c>
      <c r="N516" s="6">
        <v>140000</v>
      </c>
      <c r="O516" s="6">
        <v>1050</v>
      </c>
      <c r="P516">
        <v>139</v>
      </c>
      <c r="Q516" t="s">
        <v>30</v>
      </c>
    </row>
    <row r="517" spans="1:17" ht="13.95" customHeight="1" outlineLevel="3" x14ac:dyDescent="0.25">
      <c r="A517" t="s">
        <v>1</v>
      </c>
      <c r="B517" s="2">
        <v>40359</v>
      </c>
      <c r="C517" s="2">
        <v>40359</v>
      </c>
      <c r="D517" s="2">
        <v>40404</v>
      </c>
      <c r="E517" s="2"/>
      <c r="F517" t="s">
        <v>2</v>
      </c>
      <c r="G517" s="3">
        <v>45</v>
      </c>
      <c r="H517" s="4">
        <v>28913.19</v>
      </c>
      <c r="I517" t="s">
        <v>3</v>
      </c>
      <c r="J517" s="6">
        <v>1400000051</v>
      </c>
      <c r="K517" t="s">
        <v>0</v>
      </c>
      <c r="L517" s="3">
        <v>3681</v>
      </c>
      <c r="M517" s="3">
        <v>3650</v>
      </c>
      <c r="N517" s="6">
        <v>140000</v>
      </c>
      <c r="O517" s="6">
        <v>1050</v>
      </c>
      <c r="P517">
        <v>-2380</v>
      </c>
      <c r="Q517" t="s">
        <v>28</v>
      </c>
    </row>
    <row r="518" spans="1:17" ht="13.95" customHeight="1" outlineLevel="3" x14ac:dyDescent="0.25">
      <c r="A518" t="s">
        <v>1</v>
      </c>
      <c r="B518" s="2">
        <v>40359</v>
      </c>
      <c r="C518" s="2">
        <v>40359</v>
      </c>
      <c r="D518" s="2">
        <v>40404</v>
      </c>
      <c r="E518" s="2"/>
      <c r="F518" t="s">
        <v>2</v>
      </c>
      <c r="G518" s="3">
        <v>45</v>
      </c>
      <c r="H518" s="4">
        <v>24385.96</v>
      </c>
      <c r="I518" t="s">
        <v>3</v>
      </c>
      <c r="J518" s="6">
        <v>1400000050</v>
      </c>
      <c r="K518" t="s">
        <v>0</v>
      </c>
      <c r="L518" s="3">
        <v>3681</v>
      </c>
      <c r="M518" s="3">
        <v>3650</v>
      </c>
      <c r="N518" s="6">
        <v>140000</v>
      </c>
      <c r="O518" s="6">
        <v>1050</v>
      </c>
      <c r="P518">
        <v>966</v>
      </c>
      <c r="Q518" t="s">
        <v>32</v>
      </c>
    </row>
    <row r="519" spans="1:17" ht="13.95" customHeight="1" outlineLevel="3" x14ac:dyDescent="0.25">
      <c r="A519" t="s">
        <v>1</v>
      </c>
      <c r="B519" s="2">
        <v>40359</v>
      </c>
      <c r="C519" s="2">
        <v>40359</v>
      </c>
      <c r="D519" s="2">
        <v>40404</v>
      </c>
      <c r="E519" s="2"/>
      <c r="F519" t="s">
        <v>2</v>
      </c>
      <c r="G519" s="3">
        <v>45</v>
      </c>
      <c r="H519" s="4">
        <v>55367.839999999997</v>
      </c>
      <c r="I519" t="s">
        <v>3</v>
      </c>
      <c r="J519" s="6">
        <v>1400000049</v>
      </c>
      <c r="K519" t="s">
        <v>0</v>
      </c>
      <c r="L519" s="3">
        <v>3681</v>
      </c>
      <c r="M519" s="3">
        <v>3650</v>
      </c>
      <c r="N519" s="6">
        <v>140000</v>
      </c>
      <c r="O519" s="6">
        <v>1050</v>
      </c>
      <c r="P519">
        <v>966</v>
      </c>
      <c r="Q519" t="s">
        <v>32</v>
      </c>
    </row>
    <row r="520" spans="1:17" ht="13.95" customHeight="1" outlineLevel="3" x14ac:dyDescent="0.25">
      <c r="A520" t="s">
        <v>1</v>
      </c>
      <c r="B520" s="2">
        <v>40359</v>
      </c>
      <c r="C520" s="2">
        <v>40359</v>
      </c>
      <c r="D520" s="2">
        <v>40404</v>
      </c>
      <c r="E520" s="2"/>
      <c r="F520" t="s">
        <v>2</v>
      </c>
      <c r="G520" s="3">
        <v>45</v>
      </c>
      <c r="H520" s="4">
        <v>28913.19</v>
      </c>
      <c r="I520" t="s">
        <v>3</v>
      </c>
      <c r="J520" s="6">
        <v>1400000048</v>
      </c>
      <c r="K520" t="s">
        <v>0</v>
      </c>
      <c r="L520" s="3">
        <v>3681</v>
      </c>
      <c r="M520" s="3">
        <v>3650</v>
      </c>
      <c r="N520" s="6">
        <v>140000</v>
      </c>
      <c r="O520" s="6">
        <v>1050</v>
      </c>
      <c r="P520">
        <v>161</v>
      </c>
      <c r="Q520" t="s">
        <v>30</v>
      </c>
    </row>
    <row r="521" spans="1:17" ht="13.95" customHeight="1" outlineLevel="3" x14ac:dyDescent="0.25">
      <c r="A521" t="s">
        <v>1</v>
      </c>
      <c r="B521" s="2">
        <v>40329</v>
      </c>
      <c r="C521" s="2">
        <v>40329</v>
      </c>
      <c r="D521" s="2">
        <v>40374</v>
      </c>
      <c r="E521" s="2"/>
      <c r="F521" t="s">
        <v>2</v>
      </c>
      <c r="G521" s="3">
        <v>45</v>
      </c>
      <c r="H521" s="4">
        <v>16257.3</v>
      </c>
      <c r="I521" t="s">
        <v>3</v>
      </c>
      <c r="J521" s="6">
        <v>1400000044</v>
      </c>
      <c r="K521" t="s">
        <v>0</v>
      </c>
      <c r="L521" s="3">
        <v>3711</v>
      </c>
      <c r="M521" s="3">
        <v>3680</v>
      </c>
      <c r="N521" s="6">
        <v>140000</v>
      </c>
      <c r="O521" s="6">
        <v>1050</v>
      </c>
      <c r="P521">
        <v>169</v>
      </c>
      <c r="Q521" t="s">
        <v>30</v>
      </c>
    </row>
    <row r="522" spans="1:17" ht="13.95" customHeight="1" outlineLevel="3" x14ac:dyDescent="0.25">
      <c r="A522" t="s">
        <v>1</v>
      </c>
      <c r="B522" s="2">
        <v>40329</v>
      </c>
      <c r="C522" s="2">
        <v>40329</v>
      </c>
      <c r="D522" s="2">
        <v>40374</v>
      </c>
      <c r="E522" s="2"/>
      <c r="F522" t="s">
        <v>2</v>
      </c>
      <c r="G522" s="3">
        <v>45</v>
      </c>
      <c r="H522" s="4">
        <v>47458.15</v>
      </c>
      <c r="I522" t="s">
        <v>3</v>
      </c>
      <c r="J522" s="6">
        <v>1400000043</v>
      </c>
      <c r="K522" t="s">
        <v>0</v>
      </c>
      <c r="L522" s="3">
        <v>3711</v>
      </c>
      <c r="M522" s="3">
        <v>3680</v>
      </c>
      <c r="N522" s="6">
        <v>140000</v>
      </c>
      <c r="O522" s="6">
        <v>1050</v>
      </c>
      <c r="P522">
        <v>169</v>
      </c>
      <c r="Q522" t="s">
        <v>30</v>
      </c>
    </row>
    <row r="523" spans="1:17" ht="13.95" customHeight="1" outlineLevel="3" x14ac:dyDescent="0.25">
      <c r="A523" t="s">
        <v>1</v>
      </c>
      <c r="B523" s="2">
        <v>40329</v>
      </c>
      <c r="C523" s="2">
        <v>40329</v>
      </c>
      <c r="D523" s="2">
        <v>40374</v>
      </c>
      <c r="E523" s="2"/>
      <c r="F523" t="s">
        <v>2</v>
      </c>
      <c r="G523" s="3">
        <v>45</v>
      </c>
      <c r="H523" s="4">
        <v>36141.49</v>
      </c>
      <c r="I523" t="s">
        <v>3</v>
      </c>
      <c r="J523" s="6">
        <v>1400000042</v>
      </c>
      <c r="K523" t="s">
        <v>0</v>
      </c>
      <c r="L523" s="3">
        <v>3711</v>
      </c>
      <c r="M523" s="3">
        <v>3680</v>
      </c>
      <c r="N523" s="6">
        <v>140000</v>
      </c>
      <c r="O523" s="6">
        <v>1050</v>
      </c>
      <c r="P523">
        <v>169</v>
      </c>
      <c r="Q523" t="s">
        <v>30</v>
      </c>
    </row>
    <row r="524" spans="1:17" ht="13.95" customHeight="1" outlineLevel="3" x14ac:dyDescent="0.25">
      <c r="A524" t="s">
        <v>1</v>
      </c>
      <c r="B524" s="2">
        <v>40329</v>
      </c>
      <c r="C524" s="2">
        <v>40329</v>
      </c>
      <c r="D524" s="2">
        <v>40374</v>
      </c>
      <c r="E524" s="2"/>
      <c r="F524" t="s">
        <v>2</v>
      </c>
      <c r="G524" s="3">
        <v>45</v>
      </c>
      <c r="H524" s="4">
        <v>20321.63</v>
      </c>
      <c r="I524" t="s">
        <v>3</v>
      </c>
      <c r="J524" s="6">
        <v>1400000041</v>
      </c>
      <c r="K524" t="s">
        <v>0</v>
      </c>
      <c r="L524" s="3">
        <v>3711</v>
      </c>
      <c r="M524" s="3">
        <v>3680</v>
      </c>
      <c r="N524" s="6">
        <v>140000</v>
      </c>
      <c r="O524" s="6">
        <v>1050</v>
      </c>
      <c r="P524">
        <v>-197</v>
      </c>
      <c r="Q524" t="s">
        <v>28</v>
      </c>
    </row>
    <row r="525" spans="1:17" ht="13.95" customHeight="1" outlineLevel="3" x14ac:dyDescent="0.25">
      <c r="A525" t="s">
        <v>1</v>
      </c>
      <c r="B525" s="2">
        <v>40329</v>
      </c>
      <c r="C525" s="2">
        <v>40329</v>
      </c>
      <c r="D525" s="2">
        <v>40374</v>
      </c>
      <c r="E525" s="2"/>
      <c r="F525" t="s">
        <v>2</v>
      </c>
      <c r="G525" s="3">
        <v>45</v>
      </c>
      <c r="H525" s="4">
        <v>51413</v>
      </c>
      <c r="I525" t="s">
        <v>3</v>
      </c>
      <c r="J525" s="6">
        <v>1400000040</v>
      </c>
      <c r="K525" t="s">
        <v>0</v>
      </c>
      <c r="L525" s="3">
        <v>3711</v>
      </c>
      <c r="M525" s="3">
        <v>3680</v>
      </c>
      <c r="N525" s="6">
        <v>140000</v>
      </c>
      <c r="O525" s="6">
        <v>1050</v>
      </c>
      <c r="P525">
        <v>-197</v>
      </c>
      <c r="Q525" t="s">
        <v>28</v>
      </c>
    </row>
    <row r="526" spans="1:17" ht="13.95" customHeight="1" outlineLevel="3" x14ac:dyDescent="0.25">
      <c r="A526" t="s">
        <v>1</v>
      </c>
      <c r="B526" s="2">
        <v>40329</v>
      </c>
      <c r="C526" s="2">
        <v>40329</v>
      </c>
      <c r="D526" s="2">
        <v>40374</v>
      </c>
      <c r="E526" s="2"/>
      <c r="F526" t="s">
        <v>2</v>
      </c>
      <c r="G526" s="3">
        <v>45</v>
      </c>
      <c r="H526" s="4">
        <v>32527.34</v>
      </c>
      <c r="I526" t="s">
        <v>3</v>
      </c>
      <c r="J526" s="6">
        <v>1400000039</v>
      </c>
      <c r="K526" t="s">
        <v>0</v>
      </c>
      <c r="L526" s="3">
        <v>3711</v>
      </c>
      <c r="M526" s="3">
        <v>3680</v>
      </c>
      <c r="N526" s="6">
        <v>140000</v>
      </c>
      <c r="O526" s="6">
        <v>1050</v>
      </c>
      <c r="P526">
        <v>189</v>
      </c>
      <c r="Q526" t="s">
        <v>31</v>
      </c>
    </row>
    <row r="527" spans="1:17" ht="13.95" customHeight="1" outlineLevel="3" x14ac:dyDescent="0.25">
      <c r="A527" t="s">
        <v>1</v>
      </c>
      <c r="B527" s="2">
        <v>40298</v>
      </c>
      <c r="C527" s="2">
        <v>40298</v>
      </c>
      <c r="D527" s="2">
        <v>40343</v>
      </c>
      <c r="E527" s="2"/>
      <c r="F527" t="s">
        <v>2</v>
      </c>
      <c r="G527" s="3">
        <v>45</v>
      </c>
      <c r="H527" s="4">
        <v>24385.96</v>
      </c>
      <c r="I527" t="s">
        <v>3</v>
      </c>
      <c r="J527" s="6">
        <v>1400000035</v>
      </c>
      <c r="K527" t="s">
        <v>0</v>
      </c>
      <c r="L527" s="3">
        <v>3742</v>
      </c>
      <c r="M527" s="3">
        <v>3711</v>
      </c>
      <c r="N527" s="6">
        <v>140000</v>
      </c>
      <c r="O527" s="6">
        <v>1050</v>
      </c>
      <c r="P527">
        <v>-166</v>
      </c>
      <c r="Q527" t="s">
        <v>28</v>
      </c>
    </row>
    <row r="528" spans="1:17" ht="13.95" customHeight="1" outlineLevel="3" x14ac:dyDescent="0.25">
      <c r="A528" t="s">
        <v>1</v>
      </c>
      <c r="B528" s="2">
        <v>40298</v>
      </c>
      <c r="C528" s="2">
        <v>40298</v>
      </c>
      <c r="D528" s="2">
        <v>40343</v>
      </c>
      <c r="E528" s="2"/>
      <c r="F528" t="s">
        <v>2</v>
      </c>
      <c r="G528" s="3">
        <v>45</v>
      </c>
      <c r="H528" s="4">
        <v>39548.46</v>
      </c>
      <c r="I528" t="s">
        <v>3</v>
      </c>
      <c r="J528" s="6">
        <v>1400000034</v>
      </c>
      <c r="K528" t="s">
        <v>0</v>
      </c>
      <c r="L528" s="3">
        <v>3742</v>
      </c>
      <c r="M528" s="3">
        <v>3711</v>
      </c>
      <c r="N528" s="6">
        <v>140000</v>
      </c>
      <c r="O528" s="6">
        <v>1050</v>
      </c>
      <c r="P528">
        <v>-166</v>
      </c>
      <c r="Q528" t="s">
        <v>28</v>
      </c>
    </row>
    <row r="529" spans="1:17" ht="13.95" customHeight="1" outlineLevel="3" x14ac:dyDescent="0.25">
      <c r="A529" t="s">
        <v>1</v>
      </c>
      <c r="B529" s="2">
        <v>40298</v>
      </c>
      <c r="C529" s="2">
        <v>40298</v>
      </c>
      <c r="D529" s="2">
        <v>40343</v>
      </c>
      <c r="E529" s="2"/>
      <c r="F529" t="s">
        <v>2</v>
      </c>
      <c r="G529" s="3">
        <v>45</v>
      </c>
      <c r="H529" s="4">
        <v>46983.94</v>
      </c>
      <c r="I529" t="s">
        <v>3</v>
      </c>
      <c r="J529" s="6">
        <v>1400000033</v>
      </c>
      <c r="K529" t="s">
        <v>0</v>
      </c>
      <c r="L529" s="3">
        <v>3742</v>
      </c>
      <c r="M529" s="3">
        <v>3711</v>
      </c>
      <c r="N529" s="6">
        <v>140000</v>
      </c>
      <c r="O529" s="6">
        <v>1050</v>
      </c>
      <c r="P529">
        <v>-166</v>
      </c>
      <c r="Q529" t="s">
        <v>28</v>
      </c>
    </row>
    <row r="530" spans="1:17" ht="13.95" customHeight="1" outlineLevel="3" x14ac:dyDescent="0.25">
      <c r="A530" t="s">
        <v>1</v>
      </c>
      <c r="B530" s="2">
        <v>40298</v>
      </c>
      <c r="C530" s="2">
        <v>40298</v>
      </c>
      <c r="D530" s="2">
        <v>40343</v>
      </c>
      <c r="E530" s="2"/>
      <c r="F530" t="s">
        <v>2</v>
      </c>
      <c r="G530" s="3">
        <v>45</v>
      </c>
      <c r="H530" s="4">
        <v>20321.63</v>
      </c>
      <c r="I530" t="s">
        <v>3</v>
      </c>
      <c r="J530" s="6">
        <v>1400000032</v>
      </c>
      <c r="K530" t="s">
        <v>0</v>
      </c>
      <c r="L530" s="3">
        <v>3742</v>
      </c>
      <c r="M530" s="3">
        <v>3711</v>
      </c>
      <c r="N530" s="6">
        <v>140000</v>
      </c>
      <c r="O530" s="6">
        <v>1050</v>
      </c>
      <c r="P530">
        <v>-166</v>
      </c>
      <c r="Q530" t="s">
        <v>28</v>
      </c>
    </row>
    <row r="531" spans="1:17" ht="13.95" customHeight="1" outlineLevel="3" x14ac:dyDescent="0.25">
      <c r="A531" t="s">
        <v>1</v>
      </c>
      <c r="B531" s="2">
        <v>40298</v>
      </c>
      <c r="C531" s="2">
        <v>40298</v>
      </c>
      <c r="D531" s="2">
        <v>40343</v>
      </c>
      <c r="E531" s="2"/>
      <c r="F531" t="s">
        <v>2</v>
      </c>
      <c r="G531" s="3">
        <v>45</v>
      </c>
      <c r="H531" s="4">
        <v>43503.31</v>
      </c>
      <c r="I531" t="s">
        <v>3</v>
      </c>
      <c r="J531" s="6">
        <v>1400000031</v>
      </c>
      <c r="K531" t="s">
        <v>0</v>
      </c>
      <c r="L531" s="3">
        <v>3742</v>
      </c>
      <c r="M531" s="3">
        <v>3711</v>
      </c>
      <c r="N531" s="6">
        <v>140000</v>
      </c>
      <c r="O531" s="6">
        <v>1050</v>
      </c>
      <c r="P531">
        <v>1003</v>
      </c>
      <c r="Q531" t="s">
        <v>32</v>
      </c>
    </row>
    <row r="532" spans="1:17" ht="13.95" customHeight="1" outlineLevel="3" x14ac:dyDescent="0.25">
      <c r="A532" t="s">
        <v>1</v>
      </c>
      <c r="B532" s="2">
        <v>40298</v>
      </c>
      <c r="C532" s="2">
        <v>40298</v>
      </c>
      <c r="D532" s="2">
        <v>40343</v>
      </c>
      <c r="E532" s="2"/>
      <c r="F532" t="s">
        <v>2</v>
      </c>
      <c r="G532" s="3">
        <v>45</v>
      </c>
      <c r="H532" s="4">
        <v>39755.64</v>
      </c>
      <c r="I532" t="s">
        <v>3</v>
      </c>
      <c r="J532" s="6">
        <v>1400000030</v>
      </c>
      <c r="K532" t="s">
        <v>0</v>
      </c>
      <c r="L532" s="3">
        <v>3742</v>
      </c>
      <c r="M532" s="3">
        <v>3711</v>
      </c>
      <c r="N532" s="6">
        <v>140000</v>
      </c>
      <c r="O532" s="6">
        <v>1050</v>
      </c>
      <c r="P532">
        <v>1003</v>
      </c>
      <c r="Q532" t="s">
        <v>32</v>
      </c>
    </row>
    <row r="533" spans="1:17" ht="13.95" customHeight="1" outlineLevel="3" x14ac:dyDescent="0.25">
      <c r="A533" t="s">
        <v>1</v>
      </c>
      <c r="B533" s="2">
        <v>40268</v>
      </c>
      <c r="C533" s="2">
        <v>40268</v>
      </c>
      <c r="D533" s="2">
        <v>40313</v>
      </c>
      <c r="E533" s="2"/>
      <c r="F533" t="s">
        <v>2</v>
      </c>
      <c r="G533" s="3">
        <v>45</v>
      </c>
      <c r="H533" s="4">
        <v>32514.61</v>
      </c>
      <c r="I533" t="s">
        <v>3</v>
      </c>
      <c r="J533" s="6">
        <v>1400000026</v>
      </c>
      <c r="K533" t="s">
        <v>0</v>
      </c>
      <c r="L533" s="3">
        <v>3772</v>
      </c>
      <c r="M533" s="3">
        <v>3741</v>
      </c>
      <c r="N533" s="6">
        <v>140000</v>
      </c>
      <c r="O533" s="6">
        <v>1050</v>
      </c>
      <c r="P533">
        <v>-136</v>
      </c>
      <c r="Q533" t="s">
        <v>28</v>
      </c>
    </row>
    <row r="534" spans="1:17" ht="13.95" customHeight="1" outlineLevel="3" x14ac:dyDescent="0.25">
      <c r="A534" t="s">
        <v>1</v>
      </c>
      <c r="B534" s="2">
        <v>40268</v>
      </c>
      <c r="C534" s="2">
        <v>40268</v>
      </c>
      <c r="D534" s="2">
        <v>40313</v>
      </c>
      <c r="E534" s="2"/>
      <c r="F534" t="s">
        <v>2</v>
      </c>
      <c r="G534" s="3">
        <v>45</v>
      </c>
      <c r="H534" s="4">
        <v>35593.61</v>
      </c>
      <c r="I534" t="s">
        <v>3</v>
      </c>
      <c r="J534" s="6">
        <v>1400000025</v>
      </c>
      <c r="K534" t="s">
        <v>0</v>
      </c>
      <c r="L534" s="3">
        <v>3772</v>
      </c>
      <c r="M534" s="3">
        <v>3741</v>
      </c>
      <c r="N534" s="6">
        <v>140000</v>
      </c>
      <c r="O534" s="6">
        <v>1050</v>
      </c>
      <c r="P534">
        <v>-136</v>
      </c>
      <c r="Q534" t="s">
        <v>28</v>
      </c>
    </row>
    <row r="535" spans="1:17" ht="13.95" customHeight="1" outlineLevel="3" x14ac:dyDescent="0.25">
      <c r="A535" t="s">
        <v>1</v>
      </c>
      <c r="B535" s="2">
        <v>40268</v>
      </c>
      <c r="C535" s="2">
        <v>40268</v>
      </c>
      <c r="D535" s="2">
        <v>40313</v>
      </c>
      <c r="E535" s="2"/>
      <c r="F535" t="s">
        <v>2</v>
      </c>
      <c r="G535" s="3">
        <v>45</v>
      </c>
      <c r="H535" s="4">
        <v>39755.64</v>
      </c>
      <c r="I535" t="s">
        <v>3</v>
      </c>
      <c r="J535" s="6">
        <v>1400000024</v>
      </c>
      <c r="K535" t="s">
        <v>0</v>
      </c>
      <c r="L535" s="3">
        <v>3772</v>
      </c>
      <c r="M535" s="3">
        <v>3741</v>
      </c>
      <c r="N535" s="6">
        <v>140000</v>
      </c>
      <c r="O535" s="6">
        <v>1050</v>
      </c>
      <c r="P535">
        <v>-136</v>
      </c>
      <c r="Q535" t="s">
        <v>28</v>
      </c>
    </row>
    <row r="536" spans="1:17" ht="13.95" customHeight="1" outlineLevel="3" x14ac:dyDescent="0.25">
      <c r="A536" t="s">
        <v>1</v>
      </c>
      <c r="B536" s="2">
        <v>40268</v>
      </c>
      <c r="C536" s="2">
        <v>40268</v>
      </c>
      <c r="D536" s="2">
        <v>40313</v>
      </c>
      <c r="E536" s="2"/>
      <c r="F536" t="s">
        <v>2</v>
      </c>
      <c r="G536" s="3">
        <v>45</v>
      </c>
      <c r="H536" s="4">
        <v>28450.28</v>
      </c>
      <c r="I536" t="s">
        <v>3</v>
      </c>
      <c r="J536" s="6">
        <v>1400000023</v>
      </c>
      <c r="K536" t="s">
        <v>0</v>
      </c>
      <c r="L536" s="3">
        <v>3772</v>
      </c>
      <c r="M536" s="3">
        <v>3741</v>
      </c>
      <c r="N536" s="6">
        <v>140000</v>
      </c>
      <c r="O536" s="6">
        <v>1050</v>
      </c>
      <c r="P536">
        <v>-136</v>
      </c>
      <c r="Q536" t="s">
        <v>28</v>
      </c>
    </row>
    <row r="537" spans="1:17" ht="13.95" customHeight="1" outlineLevel="3" x14ac:dyDescent="0.25">
      <c r="A537" t="s">
        <v>1</v>
      </c>
      <c r="B537" s="2">
        <v>41571</v>
      </c>
      <c r="C537" s="2">
        <v>41571</v>
      </c>
      <c r="D537" s="2">
        <v>41571</v>
      </c>
      <c r="E537" s="2"/>
      <c r="F537" t="s">
        <v>2</v>
      </c>
      <c r="G537" s="3">
        <v>0</v>
      </c>
      <c r="H537" s="4">
        <v>4527.55</v>
      </c>
      <c r="I537" t="s">
        <v>3</v>
      </c>
      <c r="J537" s="6">
        <v>1400000054</v>
      </c>
      <c r="K537" t="s">
        <v>0</v>
      </c>
      <c r="L537" s="3">
        <v>2483</v>
      </c>
      <c r="M537" s="3">
        <v>2483</v>
      </c>
      <c r="N537" s="6">
        <v>140000</v>
      </c>
      <c r="O537" s="6">
        <v>1234</v>
      </c>
      <c r="P537">
        <v>-2358</v>
      </c>
      <c r="Q537" t="s">
        <v>28</v>
      </c>
    </row>
    <row r="538" spans="1:17" ht="13.95" customHeight="1" outlineLevel="3" x14ac:dyDescent="0.25">
      <c r="A538" t="s">
        <v>1</v>
      </c>
      <c r="B538" s="2">
        <v>41518</v>
      </c>
      <c r="C538" s="2">
        <v>41518</v>
      </c>
      <c r="D538" s="2">
        <v>41518</v>
      </c>
      <c r="E538" s="2"/>
      <c r="F538" t="s">
        <v>2</v>
      </c>
      <c r="G538" s="3">
        <v>0</v>
      </c>
      <c r="H538" s="4">
        <v>9055.1</v>
      </c>
      <c r="I538" t="s">
        <v>3</v>
      </c>
      <c r="J538" s="6">
        <v>1400000055</v>
      </c>
      <c r="K538" t="s">
        <v>0</v>
      </c>
      <c r="L538" s="3">
        <v>2536</v>
      </c>
      <c r="M538" s="3">
        <v>2536</v>
      </c>
      <c r="N538" s="6">
        <v>140000</v>
      </c>
      <c r="O538" s="6">
        <v>1234</v>
      </c>
      <c r="P538">
        <v>-232</v>
      </c>
      <c r="Q538" t="s">
        <v>28</v>
      </c>
    </row>
    <row r="539" spans="1:17" ht="13.95" customHeight="1" outlineLevel="3" x14ac:dyDescent="0.25">
      <c r="A539" t="s">
        <v>1</v>
      </c>
      <c r="B539" s="2">
        <v>41496</v>
      </c>
      <c r="C539" s="2">
        <v>41496</v>
      </c>
      <c r="D539" s="2">
        <v>41496</v>
      </c>
      <c r="E539" s="2"/>
      <c r="F539" t="s">
        <v>2</v>
      </c>
      <c r="G539" s="3">
        <v>0</v>
      </c>
      <c r="H539" s="4">
        <v>9960.61</v>
      </c>
      <c r="I539" t="s">
        <v>3</v>
      </c>
      <c r="J539" s="6">
        <v>1400000056</v>
      </c>
      <c r="K539" t="s">
        <v>0</v>
      </c>
      <c r="L539" s="3">
        <v>2558</v>
      </c>
      <c r="M539" s="3">
        <v>2558</v>
      </c>
      <c r="N539" s="6">
        <v>140000</v>
      </c>
      <c r="O539" s="6">
        <v>1234</v>
      </c>
      <c r="P539">
        <v>134</v>
      </c>
      <c r="Q539" t="s">
        <v>30</v>
      </c>
    </row>
    <row r="540" spans="1:17" ht="13.95" customHeight="1" outlineLevel="3" x14ac:dyDescent="0.25">
      <c r="A540" t="s">
        <v>1</v>
      </c>
      <c r="B540" s="2">
        <v>41571</v>
      </c>
      <c r="C540" s="2">
        <v>41571</v>
      </c>
      <c r="D540" s="2">
        <v>41571</v>
      </c>
      <c r="E540" s="2"/>
      <c r="F540" t="s">
        <v>2</v>
      </c>
      <c r="G540" s="3">
        <v>0</v>
      </c>
      <c r="H540" s="4">
        <v>-905.51</v>
      </c>
      <c r="I540" t="s">
        <v>3</v>
      </c>
      <c r="J540" s="6">
        <v>1400000057</v>
      </c>
      <c r="K540" t="s">
        <v>0</v>
      </c>
      <c r="L540" s="3">
        <v>2483</v>
      </c>
      <c r="M540" s="3">
        <v>2483</v>
      </c>
      <c r="N540" s="6">
        <v>140000</v>
      </c>
      <c r="O540" s="6">
        <v>1234</v>
      </c>
      <c r="P540">
        <v>134</v>
      </c>
      <c r="Q540" t="s">
        <v>30</v>
      </c>
    </row>
    <row r="541" spans="1:17" ht="13.95" customHeight="1" outlineLevel="3" x14ac:dyDescent="0.25">
      <c r="A541" t="s">
        <v>5</v>
      </c>
      <c r="B541" s="2">
        <v>41571</v>
      </c>
      <c r="C541" s="2">
        <v>41571</v>
      </c>
      <c r="D541" s="2">
        <v>41541</v>
      </c>
      <c r="E541" s="2"/>
      <c r="F541" t="s">
        <v>2</v>
      </c>
      <c r="G541" s="3">
        <v>0</v>
      </c>
      <c r="H541" s="4">
        <v>716.53</v>
      </c>
      <c r="I541" t="s">
        <v>3</v>
      </c>
      <c r="J541" s="6">
        <v>1400000059</v>
      </c>
      <c r="K541" t="s">
        <v>0</v>
      </c>
      <c r="L541" s="3">
        <v>2513</v>
      </c>
      <c r="M541" s="3">
        <v>2513</v>
      </c>
      <c r="N541" s="6">
        <v>140000</v>
      </c>
      <c r="O541" s="6">
        <v>1234</v>
      </c>
      <c r="P541">
        <v>108</v>
      </c>
      <c r="Q541" t="s">
        <v>30</v>
      </c>
    </row>
    <row r="542" spans="1:17" ht="13.95" customHeight="1" outlineLevel="3" x14ac:dyDescent="0.25">
      <c r="A542" t="s">
        <v>1</v>
      </c>
      <c r="B542" s="2">
        <v>43281</v>
      </c>
      <c r="C542" s="2">
        <v>43281</v>
      </c>
      <c r="D542" s="2">
        <v>43326</v>
      </c>
      <c r="E542" s="2"/>
      <c r="F542" t="s">
        <v>2</v>
      </c>
      <c r="G542" s="3">
        <v>45</v>
      </c>
      <c r="H542" s="4">
        <v>200</v>
      </c>
      <c r="I542" t="s">
        <v>3</v>
      </c>
      <c r="J542" s="6">
        <v>1400000184</v>
      </c>
      <c r="K542" t="s">
        <v>0</v>
      </c>
      <c r="L542" s="3">
        <v>759</v>
      </c>
      <c r="M542" s="3">
        <v>728</v>
      </c>
      <c r="N542" s="6">
        <v>140000</v>
      </c>
      <c r="O542" s="6">
        <v>1251</v>
      </c>
      <c r="P542">
        <v>685</v>
      </c>
      <c r="Q542" t="s">
        <v>32</v>
      </c>
    </row>
    <row r="543" spans="1:17" ht="13.95" customHeight="1" outlineLevel="3" x14ac:dyDescent="0.25">
      <c r="A543" t="s">
        <v>1</v>
      </c>
      <c r="B543" s="2">
        <v>42999</v>
      </c>
      <c r="C543" s="2">
        <v>42999</v>
      </c>
      <c r="D543" s="2">
        <v>43044</v>
      </c>
      <c r="E543" s="2"/>
      <c r="F543" t="s">
        <v>2</v>
      </c>
      <c r="G543" s="3">
        <v>45</v>
      </c>
      <c r="H543" s="4">
        <v>7000</v>
      </c>
      <c r="I543" t="s">
        <v>3</v>
      </c>
      <c r="J543" s="6">
        <v>1400000011</v>
      </c>
      <c r="K543" t="s">
        <v>0</v>
      </c>
      <c r="L543" s="3">
        <v>1041</v>
      </c>
      <c r="M543" s="3">
        <v>1010</v>
      </c>
      <c r="N543" s="6">
        <v>140000</v>
      </c>
      <c r="O543" s="6">
        <v>1325</v>
      </c>
      <c r="P543">
        <v>-103</v>
      </c>
      <c r="Q543" t="s">
        <v>28</v>
      </c>
    </row>
    <row r="544" spans="1:17" ht="13.95" customHeight="1" outlineLevel="3" x14ac:dyDescent="0.25">
      <c r="A544" t="s">
        <v>1</v>
      </c>
      <c r="B544" s="2">
        <v>38467</v>
      </c>
      <c r="C544" s="2">
        <v>38467</v>
      </c>
      <c r="D544" s="2">
        <v>38532</v>
      </c>
      <c r="E544" s="2"/>
      <c r="F544" t="s">
        <v>2</v>
      </c>
      <c r="G544" s="3">
        <v>45</v>
      </c>
      <c r="H544" s="4">
        <v>24644</v>
      </c>
      <c r="I544" t="s">
        <v>3</v>
      </c>
      <c r="J544" s="6">
        <v>100001254</v>
      </c>
      <c r="K544" t="s">
        <v>0</v>
      </c>
      <c r="L544" s="3">
        <v>5553</v>
      </c>
      <c r="M544" s="3">
        <v>5522</v>
      </c>
      <c r="N544" s="6">
        <v>140000</v>
      </c>
      <c r="O544" s="6">
        <v>1360</v>
      </c>
      <c r="P544">
        <v>2376</v>
      </c>
      <c r="Q544" t="s">
        <v>32</v>
      </c>
    </row>
    <row r="545" spans="1:17" ht="13.95" customHeight="1" outlineLevel="3" x14ac:dyDescent="0.25">
      <c r="A545" t="s">
        <v>1</v>
      </c>
      <c r="B545" s="2">
        <v>38467</v>
      </c>
      <c r="C545" s="2">
        <v>38467</v>
      </c>
      <c r="D545" s="2">
        <v>38532</v>
      </c>
      <c r="E545" s="2"/>
      <c r="F545" t="s">
        <v>2</v>
      </c>
      <c r="G545" s="3">
        <v>45</v>
      </c>
      <c r="H545" s="4">
        <v>3012.75</v>
      </c>
      <c r="I545" t="s">
        <v>3</v>
      </c>
      <c r="J545" s="6">
        <v>100001255</v>
      </c>
      <c r="K545" t="s">
        <v>0</v>
      </c>
      <c r="L545" s="3">
        <v>5553</v>
      </c>
      <c r="M545" s="3">
        <v>5522</v>
      </c>
      <c r="N545" s="6">
        <v>140000</v>
      </c>
      <c r="O545" s="6">
        <v>1360</v>
      </c>
      <c r="P545">
        <v>2376</v>
      </c>
      <c r="Q545" t="s">
        <v>32</v>
      </c>
    </row>
    <row r="546" spans="1:17" ht="13.95" customHeight="1" outlineLevel="3" x14ac:dyDescent="0.25">
      <c r="A546" t="s">
        <v>1</v>
      </c>
      <c r="B546" s="2">
        <v>38672</v>
      </c>
      <c r="C546" s="2">
        <v>38672</v>
      </c>
      <c r="D546" s="2">
        <v>38746</v>
      </c>
      <c r="E546" s="2"/>
      <c r="F546" t="s">
        <v>2</v>
      </c>
      <c r="G546" s="3">
        <v>45</v>
      </c>
      <c r="H546" s="4">
        <v>52090.03</v>
      </c>
      <c r="I546" t="s">
        <v>3</v>
      </c>
      <c r="J546" s="6">
        <v>100003249</v>
      </c>
      <c r="K546" t="s">
        <v>0</v>
      </c>
      <c r="L546" s="3">
        <v>5339</v>
      </c>
      <c r="M546" s="3">
        <v>5308</v>
      </c>
      <c r="N546" s="6">
        <v>140000</v>
      </c>
      <c r="O546" s="6">
        <v>1360</v>
      </c>
      <c r="P546">
        <v>2162</v>
      </c>
      <c r="Q546" t="s">
        <v>32</v>
      </c>
    </row>
    <row r="547" spans="1:17" ht="13.95" customHeight="1" outlineLevel="3" x14ac:dyDescent="0.25">
      <c r="A547" t="s">
        <v>1</v>
      </c>
      <c r="B547" s="2">
        <v>38672</v>
      </c>
      <c r="C547" s="2">
        <v>38672</v>
      </c>
      <c r="D547" s="2">
        <v>38746</v>
      </c>
      <c r="E547" s="2"/>
      <c r="F547" t="s">
        <v>2</v>
      </c>
      <c r="G547" s="3">
        <v>45</v>
      </c>
      <c r="H547" s="4">
        <v>6975.08</v>
      </c>
      <c r="I547" t="s">
        <v>3</v>
      </c>
      <c r="J547" s="6">
        <v>100003250</v>
      </c>
      <c r="K547" t="s">
        <v>0</v>
      </c>
      <c r="L547" s="3">
        <v>5339</v>
      </c>
      <c r="M547" s="3">
        <v>5308</v>
      </c>
      <c r="N547" s="6">
        <v>140000</v>
      </c>
      <c r="O547" s="6">
        <v>1360</v>
      </c>
      <c r="P547">
        <v>2162</v>
      </c>
      <c r="Q547" t="s">
        <v>32</v>
      </c>
    </row>
    <row r="548" spans="1:17" ht="13.95" customHeight="1" outlineLevel="3" x14ac:dyDescent="0.25">
      <c r="A548" t="s">
        <v>1</v>
      </c>
      <c r="B548" s="2">
        <v>37546</v>
      </c>
      <c r="C548" s="2">
        <v>37546</v>
      </c>
      <c r="D548" s="2">
        <v>37546</v>
      </c>
      <c r="E548" s="2"/>
      <c r="F548" t="s">
        <v>2</v>
      </c>
      <c r="G548" s="3">
        <v>0</v>
      </c>
      <c r="H548" s="4">
        <v>40600</v>
      </c>
      <c r="I548" t="s">
        <v>3</v>
      </c>
      <c r="J548" s="6">
        <v>100004393</v>
      </c>
      <c r="K548" t="s">
        <v>0</v>
      </c>
      <c r="L548" s="3">
        <v>6508</v>
      </c>
      <c r="M548" s="3">
        <v>6508</v>
      </c>
      <c r="N548" s="6">
        <v>140000</v>
      </c>
      <c r="O548" s="6">
        <v>1390</v>
      </c>
      <c r="P548">
        <v>3362</v>
      </c>
      <c r="Q548" t="s">
        <v>32</v>
      </c>
    </row>
    <row r="549" spans="1:17" ht="13.95" customHeight="1" outlineLevel="3" x14ac:dyDescent="0.25">
      <c r="A549" t="s">
        <v>1</v>
      </c>
      <c r="B549" s="2">
        <v>41557</v>
      </c>
      <c r="C549" s="2">
        <v>41557</v>
      </c>
      <c r="D549" s="2">
        <v>41557</v>
      </c>
      <c r="E549" s="2"/>
      <c r="F549" t="s">
        <v>2</v>
      </c>
      <c r="G549" s="3">
        <v>0</v>
      </c>
      <c r="H549" s="4">
        <v>1811.02</v>
      </c>
      <c r="I549" t="s">
        <v>3</v>
      </c>
      <c r="J549" s="6">
        <v>1400000060</v>
      </c>
      <c r="K549" t="s">
        <v>0</v>
      </c>
      <c r="L549" s="3">
        <v>2497</v>
      </c>
      <c r="M549" s="3">
        <v>2497</v>
      </c>
      <c r="N549" s="6">
        <v>140000</v>
      </c>
      <c r="O549" s="6">
        <v>1400</v>
      </c>
      <c r="P549">
        <v>108</v>
      </c>
      <c r="Q549" t="s">
        <v>30</v>
      </c>
    </row>
    <row r="550" spans="1:17" ht="13.95" customHeight="1" outlineLevel="3" x14ac:dyDescent="0.25">
      <c r="A550" t="s">
        <v>1</v>
      </c>
      <c r="B550" s="2">
        <v>42980</v>
      </c>
      <c r="C550" s="2">
        <v>42980</v>
      </c>
      <c r="D550" s="2">
        <v>43025</v>
      </c>
      <c r="E550" s="2"/>
      <c r="F550" t="s">
        <v>2</v>
      </c>
      <c r="G550" s="3">
        <v>45</v>
      </c>
      <c r="H550" s="4">
        <v>81000</v>
      </c>
      <c r="I550" t="s">
        <v>3</v>
      </c>
      <c r="J550" s="6">
        <v>1400000013</v>
      </c>
      <c r="K550" t="s">
        <v>0</v>
      </c>
      <c r="L550" s="3">
        <v>1060</v>
      </c>
      <c r="M550" s="3">
        <v>1029</v>
      </c>
      <c r="N550" s="6">
        <v>140000</v>
      </c>
      <c r="O550" s="6">
        <v>1454</v>
      </c>
      <c r="P550">
        <v>-105</v>
      </c>
      <c r="Q550" t="s">
        <v>28</v>
      </c>
    </row>
    <row r="551" spans="1:17" ht="13.95" customHeight="1" outlineLevel="3" x14ac:dyDescent="0.25">
      <c r="A551" t="s">
        <v>1</v>
      </c>
      <c r="B551" s="2">
        <v>37358</v>
      </c>
      <c r="C551" s="2">
        <v>37358</v>
      </c>
      <c r="D551" s="2">
        <v>37358</v>
      </c>
      <c r="E551" s="2"/>
      <c r="F551" t="s">
        <v>2</v>
      </c>
      <c r="G551" s="3">
        <v>0</v>
      </c>
      <c r="H551" s="4">
        <v>1120.5</v>
      </c>
      <c r="I551" t="s">
        <v>3</v>
      </c>
      <c r="J551" s="6">
        <v>1400001434</v>
      </c>
      <c r="K551" t="s">
        <v>0</v>
      </c>
      <c r="L551" s="3">
        <v>6696</v>
      </c>
      <c r="M551" s="3">
        <v>6696</v>
      </c>
      <c r="N551" s="6">
        <v>140000</v>
      </c>
      <c r="O551" s="6">
        <v>1460</v>
      </c>
      <c r="P551">
        <v>3550</v>
      </c>
      <c r="Q551" t="s">
        <v>32</v>
      </c>
    </row>
    <row r="552" spans="1:17" ht="13.95" customHeight="1" outlineLevel="3" x14ac:dyDescent="0.25">
      <c r="A552" t="s">
        <v>1</v>
      </c>
      <c r="B552" s="2">
        <v>37525</v>
      </c>
      <c r="C552" s="2">
        <v>37525</v>
      </c>
      <c r="D552" s="2">
        <v>37589</v>
      </c>
      <c r="E552" s="2"/>
      <c r="F552" t="s">
        <v>2</v>
      </c>
      <c r="G552" s="3">
        <v>45</v>
      </c>
      <c r="H552" s="4">
        <v>104000.4</v>
      </c>
      <c r="I552" t="s">
        <v>3</v>
      </c>
      <c r="J552" s="6">
        <v>1400001435</v>
      </c>
      <c r="K552" t="s">
        <v>0</v>
      </c>
      <c r="L552" s="3">
        <v>6496</v>
      </c>
      <c r="M552" s="3">
        <v>6465</v>
      </c>
      <c r="N552" s="6">
        <v>140000</v>
      </c>
      <c r="O552" s="6">
        <v>1460</v>
      </c>
      <c r="P552">
        <v>3319</v>
      </c>
      <c r="Q552" t="s">
        <v>32</v>
      </c>
    </row>
    <row r="553" spans="1:17" ht="13.95" customHeight="1" outlineLevel="3" x14ac:dyDescent="0.25">
      <c r="A553" t="s">
        <v>1</v>
      </c>
      <c r="B553" s="2">
        <v>37587</v>
      </c>
      <c r="C553" s="2">
        <v>37587</v>
      </c>
      <c r="D553" s="2">
        <v>37650</v>
      </c>
      <c r="E553" s="2"/>
      <c r="F553" t="s">
        <v>2</v>
      </c>
      <c r="G553" s="3">
        <v>45</v>
      </c>
      <c r="H553" s="4">
        <v>13659.1</v>
      </c>
      <c r="I553" t="s">
        <v>3</v>
      </c>
      <c r="J553" s="6">
        <v>1400001436</v>
      </c>
      <c r="K553" t="s">
        <v>0</v>
      </c>
      <c r="L553" s="3">
        <v>6435</v>
      </c>
      <c r="M553" s="3">
        <v>6404</v>
      </c>
      <c r="N553" s="6">
        <v>140000</v>
      </c>
      <c r="O553" s="6">
        <v>1460</v>
      </c>
      <c r="P553">
        <v>3258</v>
      </c>
      <c r="Q553" t="s">
        <v>32</v>
      </c>
    </row>
    <row r="554" spans="1:17" ht="13.95" customHeight="1" outlineLevel="3" x14ac:dyDescent="0.25">
      <c r="A554" t="s">
        <v>1</v>
      </c>
      <c r="B554" s="2">
        <v>37587</v>
      </c>
      <c r="C554" s="2">
        <v>37587</v>
      </c>
      <c r="D554" s="2">
        <v>37650</v>
      </c>
      <c r="E554" s="2"/>
      <c r="F554" t="s">
        <v>2</v>
      </c>
      <c r="G554" s="3">
        <v>45</v>
      </c>
      <c r="H554" s="4">
        <v>66046.899999999994</v>
      </c>
      <c r="I554" t="s">
        <v>3</v>
      </c>
      <c r="J554" s="6">
        <v>1400001437</v>
      </c>
      <c r="K554" t="s">
        <v>0</v>
      </c>
      <c r="L554" s="3">
        <v>6435</v>
      </c>
      <c r="M554" s="3">
        <v>6404</v>
      </c>
      <c r="N554" s="6">
        <v>140000</v>
      </c>
      <c r="O554" s="6">
        <v>1460</v>
      </c>
      <c r="P554">
        <v>3258</v>
      </c>
      <c r="Q554" t="s">
        <v>32</v>
      </c>
    </row>
    <row r="555" spans="1:17" ht="13.95" customHeight="1" outlineLevel="3" x14ac:dyDescent="0.25">
      <c r="A555" t="s">
        <v>1</v>
      </c>
      <c r="B555" s="2">
        <v>37677</v>
      </c>
      <c r="C555" s="2">
        <v>37677</v>
      </c>
      <c r="D555" s="2">
        <v>37740</v>
      </c>
      <c r="E555" s="2"/>
      <c r="F555" t="s">
        <v>2</v>
      </c>
      <c r="G555" s="3">
        <v>45</v>
      </c>
      <c r="H555" s="4">
        <v>3246.5</v>
      </c>
      <c r="I555" t="s">
        <v>3</v>
      </c>
      <c r="J555" s="6">
        <v>1400001438</v>
      </c>
      <c r="K555" t="s">
        <v>0</v>
      </c>
      <c r="L555" s="3">
        <v>6345</v>
      </c>
      <c r="M555" s="3">
        <v>6314</v>
      </c>
      <c r="N555" s="6">
        <v>140000</v>
      </c>
      <c r="O555" s="6">
        <v>1460</v>
      </c>
      <c r="P555">
        <v>3168</v>
      </c>
      <c r="Q555" t="s">
        <v>32</v>
      </c>
    </row>
    <row r="556" spans="1:17" ht="13.95" customHeight="1" outlineLevel="3" x14ac:dyDescent="0.25">
      <c r="A556" t="s">
        <v>1</v>
      </c>
      <c r="B556" s="2">
        <v>37726</v>
      </c>
      <c r="C556" s="2">
        <v>37726</v>
      </c>
      <c r="D556" s="2">
        <v>37786</v>
      </c>
      <c r="E556" s="2"/>
      <c r="F556" t="s">
        <v>2</v>
      </c>
      <c r="G556" s="3">
        <v>45</v>
      </c>
      <c r="H556" s="4">
        <v>10767.9</v>
      </c>
      <c r="I556" t="s">
        <v>3</v>
      </c>
      <c r="J556" s="6">
        <v>1400001439</v>
      </c>
      <c r="K556" t="s">
        <v>0</v>
      </c>
      <c r="L556" s="3">
        <v>6299</v>
      </c>
      <c r="M556" s="3">
        <v>6268</v>
      </c>
      <c r="N556" s="6">
        <v>140000</v>
      </c>
      <c r="O556" s="6">
        <v>1460</v>
      </c>
      <c r="P556">
        <v>3122</v>
      </c>
      <c r="Q556" t="s">
        <v>32</v>
      </c>
    </row>
    <row r="557" spans="1:17" ht="13.95" customHeight="1" outlineLevel="3" x14ac:dyDescent="0.25">
      <c r="A557" t="s">
        <v>1</v>
      </c>
      <c r="B557" s="2">
        <v>38183</v>
      </c>
      <c r="C557" s="2">
        <v>38183</v>
      </c>
      <c r="D557" s="2">
        <v>38243</v>
      </c>
      <c r="E557" s="2"/>
      <c r="F557" t="s">
        <v>2</v>
      </c>
      <c r="G557" s="3">
        <v>45</v>
      </c>
      <c r="H557" s="4">
        <v>5884.2</v>
      </c>
      <c r="I557" t="s">
        <v>3</v>
      </c>
      <c r="J557" s="6">
        <v>1400001440</v>
      </c>
      <c r="K557" t="s">
        <v>0</v>
      </c>
      <c r="L557" s="3">
        <v>5842</v>
      </c>
      <c r="M557" s="3">
        <v>5811</v>
      </c>
      <c r="N557" s="6">
        <v>140000</v>
      </c>
      <c r="O557" s="6">
        <v>1460</v>
      </c>
      <c r="P557">
        <v>2665</v>
      </c>
      <c r="Q557" t="s">
        <v>32</v>
      </c>
    </row>
    <row r="558" spans="1:17" ht="13.95" customHeight="1" outlineLevel="3" x14ac:dyDescent="0.25">
      <c r="A558" t="s">
        <v>1</v>
      </c>
      <c r="B558" s="2">
        <v>38183</v>
      </c>
      <c r="C558" s="2">
        <v>38183</v>
      </c>
      <c r="D558" s="2">
        <v>38243</v>
      </c>
      <c r="E558" s="2"/>
      <c r="F558" t="s">
        <v>2</v>
      </c>
      <c r="G558" s="3">
        <v>45</v>
      </c>
      <c r="H558" s="4">
        <v>28220.9</v>
      </c>
      <c r="I558" t="s">
        <v>3</v>
      </c>
      <c r="J558" s="6">
        <v>1400001441</v>
      </c>
      <c r="K558" t="s">
        <v>0</v>
      </c>
      <c r="L558" s="3">
        <v>5842</v>
      </c>
      <c r="M558" s="3">
        <v>5811</v>
      </c>
      <c r="N558" s="6">
        <v>140000</v>
      </c>
      <c r="O558" s="6">
        <v>1460</v>
      </c>
      <c r="P558">
        <v>2665</v>
      </c>
      <c r="Q558" t="s">
        <v>32</v>
      </c>
    </row>
    <row r="559" spans="1:17" ht="13.95" customHeight="1" outlineLevel="3" x14ac:dyDescent="0.25">
      <c r="A559" t="s">
        <v>1</v>
      </c>
      <c r="B559" s="2">
        <v>38211</v>
      </c>
      <c r="C559" s="2">
        <v>38211</v>
      </c>
      <c r="D559" s="2">
        <v>38274</v>
      </c>
      <c r="E559" s="2"/>
      <c r="F559" t="s">
        <v>2</v>
      </c>
      <c r="G559" s="3">
        <v>45</v>
      </c>
      <c r="H559" s="4">
        <v>97600.7</v>
      </c>
      <c r="I559" t="s">
        <v>3</v>
      </c>
      <c r="J559" s="6">
        <v>1400001442</v>
      </c>
      <c r="K559" t="s">
        <v>0</v>
      </c>
      <c r="L559" s="3">
        <v>5811</v>
      </c>
      <c r="M559" s="3">
        <v>5780</v>
      </c>
      <c r="N559" s="6">
        <v>140000</v>
      </c>
      <c r="O559" s="6">
        <v>1460</v>
      </c>
      <c r="P559">
        <v>2634</v>
      </c>
      <c r="Q559" t="s">
        <v>32</v>
      </c>
    </row>
    <row r="560" spans="1:17" ht="13.95" customHeight="1" outlineLevel="3" x14ac:dyDescent="0.25">
      <c r="A560" t="s">
        <v>1</v>
      </c>
      <c r="B560" s="2">
        <v>38215</v>
      </c>
      <c r="C560" s="2">
        <v>38215</v>
      </c>
      <c r="D560" s="2">
        <v>38290</v>
      </c>
      <c r="E560" s="2"/>
      <c r="F560" t="s">
        <v>2</v>
      </c>
      <c r="G560" s="3">
        <v>45</v>
      </c>
      <c r="H560" s="4">
        <v>10308</v>
      </c>
      <c r="I560" t="s">
        <v>3</v>
      </c>
      <c r="J560" s="6">
        <v>1400001443</v>
      </c>
      <c r="K560" t="s">
        <v>0</v>
      </c>
      <c r="L560" s="3">
        <v>5795</v>
      </c>
      <c r="M560" s="3">
        <v>5764</v>
      </c>
      <c r="N560" s="6">
        <v>140000</v>
      </c>
      <c r="O560" s="6">
        <v>1460</v>
      </c>
      <c r="P560">
        <v>2618</v>
      </c>
      <c r="Q560" t="s">
        <v>32</v>
      </c>
    </row>
    <row r="561" spans="1:17" ht="13.95" customHeight="1" outlineLevel="3" x14ac:dyDescent="0.25">
      <c r="A561" t="s">
        <v>1</v>
      </c>
      <c r="B561" s="2">
        <v>38380</v>
      </c>
      <c r="C561" s="2">
        <v>38380</v>
      </c>
      <c r="D561" s="2">
        <v>38443</v>
      </c>
      <c r="E561" s="2"/>
      <c r="F561" t="s">
        <v>2</v>
      </c>
      <c r="G561" s="3">
        <v>45</v>
      </c>
      <c r="H561" s="4">
        <v>18180.400000000001</v>
      </c>
      <c r="I561" t="s">
        <v>3</v>
      </c>
      <c r="J561" s="6">
        <v>1400000294</v>
      </c>
      <c r="K561" t="s">
        <v>0</v>
      </c>
      <c r="L561" s="3">
        <v>5642</v>
      </c>
      <c r="M561" s="3">
        <v>5611</v>
      </c>
      <c r="N561" s="6">
        <v>140000</v>
      </c>
      <c r="O561" s="6">
        <v>1460</v>
      </c>
      <c r="P561">
        <v>2465</v>
      </c>
      <c r="Q561" t="s">
        <v>32</v>
      </c>
    </row>
    <row r="562" spans="1:17" ht="13.95" customHeight="1" outlineLevel="3" x14ac:dyDescent="0.25">
      <c r="A562" t="s">
        <v>1</v>
      </c>
      <c r="B562" s="2">
        <v>42016</v>
      </c>
      <c r="C562" s="2">
        <v>42016</v>
      </c>
      <c r="D562" s="2">
        <v>42061</v>
      </c>
      <c r="E562" s="2"/>
      <c r="F562" t="s">
        <v>2</v>
      </c>
      <c r="G562" s="3">
        <v>45</v>
      </c>
      <c r="H562" s="4">
        <v>1108800</v>
      </c>
      <c r="I562" t="s">
        <v>3</v>
      </c>
      <c r="J562" s="6">
        <v>1400000004</v>
      </c>
      <c r="K562" t="s">
        <v>0</v>
      </c>
      <c r="L562" s="3">
        <v>2024</v>
      </c>
      <c r="M562" s="3">
        <v>1993</v>
      </c>
      <c r="N562" s="6">
        <v>140000</v>
      </c>
      <c r="O562" s="6">
        <v>1600</v>
      </c>
      <c r="P562">
        <v>-76</v>
      </c>
      <c r="Q562" t="s">
        <v>28</v>
      </c>
    </row>
    <row r="563" spans="1:17" ht="13.95" customHeight="1" outlineLevel="3" x14ac:dyDescent="0.25">
      <c r="A563" t="s">
        <v>6</v>
      </c>
      <c r="B563" s="2">
        <v>40332</v>
      </c>
      <c r="C563" s="2">
        <v>40332</v>
      </c>
      <c r="D563" s="2">
        <v>40377</v>
      </c>
      <c r="E563" s="2"/>
      <c r="F563" t="s">
        <v>2</v>
      </c>
      <c r="G563" s="3">
        <v>45</v>
      </c>
      <c r="H563" s="4">
        <v>12000</v>
      </c>
      <c r="I563" t="s">
        <v>3</v>
      </c>
      <c r="J563" s="6">
        <v>1800000148</v>
      </c>
      <c r="K563" t="s">
        <v>0</v>
      </c>
      <c r="L563" s="3">
        <v>3708</v>
      </c>
      <c r="M563" s="3">
        <v>3677</v>
      </c>
      <c r="N563" s="6">
        <v>140000</v>
      </c>
      <c r="O563" s="6">
        <v>1933</v>
      </c>
      <c r="P563">
        <v>531</v>
      </c>
      <c r="Q563" t="s">
        <v>32</v>
      </c>
    </row>
    <row r="564" spans="1:17" ht="13.95" customHeight="1" outlineLevel="3" x14ac:dyDescent="0.25">
      <c r="A564" t="s">
        <v>1</v>
      </c>
      <c r="B564" s="2">
        <v>37523</v>
      </c>
      <c r="C564" s="2">
        <v>37523</v>
      </c>
      <c r="D564" s="2">
        <v>37568</v>
      </c>
      <c r="E564" s="2"/>
      <c r="F564" t="s">
        <v>2</v>
      </c>
      <c r="G564" s="3">
        <v>45</v>
      </c>
      <c r="H564" s="4">
        <v>3895.8</v>
      </c>
      <c r="I564" t="s">
        <v>3</v>
      </c>
      <c r="J564" s="6">
        <v>1400001459</v>
      </c>
      <c r="K564" t="s">
        <v>0</v>
      </c>
      <c r="L564" s="3">
        <v>6517</v>
      </c>
      <c r="M564" s="3">
        <v>6486</v>
      </c>
      <c r="N564" s="6">
        <v>140000</v>
      </c>
      <c r="O564" s="6">
        <v>2007</v>
      </c>
      <c r="P564">
        <v>3340</v>
      </c>
      <c r="Q564" t="s">
        <v>32</v>
      </c>
    </row>
    <row r="565" spans="1:17" ht="13.95" customHeight="1" outlineLevel="3" x14ac:dyDescent="0.25">
      <c r="A565" t="s">
        <v>1</v>
      </c>
      <c r="B565" s="2">
        <v>37587</v>
      </c>
      <c r="C565" s="2">
        <v>37587</v>
      </c>
      <c r="D565" s="2">
        <v>37632</v>
      </c>
      <c r="E565" s="2"/>
      <c r="F565" t="s">
        <v>2</v>
      </c>
      <c r="G565" s="3">
        <v>45</v>
      </c>
      <c r="H565" s="4">
        <v>12956</v>
      </c>
      <c r="I565" t="s">
        <v>3</v>
      </c>
      <c r="J565" s="6">
        <v>1400001460</v>
      </c>
      <c r="K565" t="s">
        <v>0</v>
      </c>
      <c r="L565" s="3">
        <v>6453</v>
      </c>
      <c r="M565" s="3">
        <v>6422</v>
      </c>
      <c r="N565" s="6">
        <v>140000</v>
      </c>
      <c r="O565" s="6">
        <v>2007</v>
      </c>
      <c r="P565">
        <v>3276</v>
      </c>
      <c r="Q565" t="s">
        <v>32</v>
      </c>
    </row>
    <row r="566" spans="1:17" ht="13.95" customHeight="1" outlineLevel="3" x14ac:dyDescent="0.25">
      <c r="A566" t="s">
        <v>1</v>
      </c>
      <c r="B566" s="2">
        <v>37726</v>
      </c>
      <c r="C566" s="2">
        <v>37726</v>
      </c>
      <c r="D566" s="2">
        <v>37771</v>
      </c>
      <c r="E566" s="2"/>
      <c r="F566" t="s">
        <v>2</v>
      </c>
      <c r="G566" s="3">
        <v>45</v>
      </c>
      <c r="H566" s="4">
        <v>48203.9</v>
      </c>
      <c r="I566" t="s">
        <v>3</v>
      </c>
      <c r="J566" s="6">
        <v>1400001461</v>
      </c>
      <c r="K566" t="s">
        <v>0</v>
      </c>
      <c r="L566" s="3">
        <v>6314</v>
      </c>
      <c r="M566" s="3">
        <v>6283</v>
      </c>
      <c r="N566" s="6">
        <v>140000</v>
      </c>
      <c r="O566" s="6">
        <v>2007</v>
      </c>
      <c r="P566">
        <v>3137</v>
      </c>
      <c r="Q566" t="s">
        <v>32</v>
      </c>
    </row>
    <row r="567" spans="1:17" ht="13.95" customHeight="1" outlineLevel="3" x14ac:dyDescent="0.25">
      <c r="A567" t="s">
        <v>1</v>
      </c>
      <c r="B567" s="2">
        <v>37774</v>
      </c>
      <c r="C567" s="2">
        <v>37774</v>
      </c>
      <c r="D567" s="2">
        <v>37819</v>
      </c>
      <c r="E567" s="2"/>
      <c r="F567" t="s">
        <v>2</v>
      </c>
      <c r="G567" s="3">
        <v>45</v>
      </c>
      <c r="H567" s="4">
        <v>3246.5</v>
      </c>
      <c r="I567" t="s">
        <v>3</v>
      </c>
      <c r="J567" s="6">
        <v>1400001462</v>
      </c>
      <c r="K567" t="s">
        <v>0</v>
      </c>
      <c r="L567" s="3">
        <v>6266</v>
      </c>
      <c r="M567" s="3">
        <v>6235</v>
      </c>
      <c r="N567" s="6">
        <v>140000</v>
      </c>
      <c r="O567" s="6">
        <v>2007</v>
      </c>
      <c r="P567">
        <v>3089</v>
      </c>
      <c r="Q567" t="s">
        <v>32</v>
      </c>
    </row>
    <row r="568" spans="1:17" ht="13.95" customHeight="1" outlineLevel="3" x14ac:dyDescent="0.25">
      <c r="A568" t="s">
        <v>1</v>
      </c>
      <c r="B568" s="2">
        <v>37825</v>
      </c>
      <c r="C568" s="2">
        <v>37825</v>
      </c>
      <c r="D568" s="2">
        <v>37870</v>
      </c>
      <c r="E568" s="2"/>
      <c r="F568" t="s">
        <v>2</v>
      </c>
      <c r="G568" s="3">
        <v>45</v>
      </c>
      <c r="H568" s="4">
        <v>25876.2</v>
      </c>
      <c r="I568" t="s">
        <v>3</v>
      </c>
      <c r="J568" s="6">
        <v>1400001463</v>
      </c>
      <c r="K568" t="s">
        <v>0</v>
      </c>
      <c r="L568" s="3">
        <v>6215</v>
      </c>
      <c r="M568" s="3">
        <v>6184</v>
      </c>
      <c r="N568" s="6">
        <v>140000</v>
      </c>
      <c r="O568" s="6">
        <v>2007</v>
      </c>
      <c r="P568">
        <v>3038</v>
      </c>
      <c r="Q568" t="s">
        <v>32</v>
      </c>
    </row>
    <row r="569" spans="1:17" ht="13.95" customHeight="1" outlineLevel="3" x14ac:dyDescent="0.25">
      <c r="A569" t="s">
        <v>1</v>
      </c>
      <c r="B569" s="2">
        <v>38183</v>
      </c>
      <c r="C569" s="2">
        <v>38183</v>
      </c>
      <c r="D569" s="2">
        <v>38228</v>
      </c>
      <c r="E569" s="2"/>
      <c r="F569" t="s">
        <v>2</v>
      </c>
      <c r="G569" s="3">
        <v>45</v>
      </c>
      <c r="H569" s="4">
        <v>36515.800000000003</v>
      </c>
      <c r="I569" t="s">
        <v>3</v>
      </c>
      <c r="J569" s="6">
        <v>1400001464</v>
      </c>
      <c r="K569" t="s">
        <v>0</v>
      </c>
      <c r="L569" s="3">
        <v>5857</v>
      </c>
      <c r="M569" s="3">
        <v>5826</v>
      </c>
      <c r="N569" s="6">
        <v>140000</v>
      </c>
      <c r="O569" s="6">
        <v>2007</v>
      </c>
      <c r="P569">
        <v>2680</v>
      </c>
      <c r="Q569" t="s">
        <v>32</v>
      </c>
    </row>
    <row r="570" spans="1:17" ht="13.95" customHeight="1" outlineLevel="3" x14ac:dyDescent="0.25">
      <c r="A570" t="s">
        <v>1</v>
      </c>
      <c r="B570" s="2">
        <v>38183</v>
      </c>
      <c r="C570" s="2">
        <v>38183</v>
      </c>
      <c r="D570" s="2">
        <v>38228</v>
      </c>
      <c r="E570" s="2"/>
      <c r="F570" t="s">
        <v>2</v>
      </c>
      <c r="G570" s="3">
        <v>45</v>
      </c>
      <c r="H570" s="4">
        <v>12185.6</v>
      </c>
      <c r="I570" t="s">
        <v>3</v>
      </c>
      <c r="J570" s="6">
        <v>1400001465</v>
      </c>
      <c r="K570" t="s">
        <v>0</v>
      </c>
      <c r="L570" s="3">
        <v>5857</v>
      </c>
      <c r="M570" s="3">
        <v>5826</v>
      </c>
      <c r="N570" s="6">
        <v>140000</v>
      </c>
      <c r="O570" s="6">
        <v>2007</v>
      </c>
      <c r="P570">
        <v>2680</v>
      </c>
      <c r="Q570" t="s">
        <v>32</v>
      </c>
    </row>
    <row r="571" spans="1:17" ht="13.95" customHeight="1" outlineLevel="3" x14ac:dyDescent="0.25">
      <c r="A571" t="s">
        <v>1</v>
      </c>
      <c r="B571" s="2">
        <v>38211</v>
      </c>
      <c r="C571" s="2">
        <v>38211</v>
      </c>
      <c r="D571" s="2">
        <v>38256</v>
      </c>
      <c r="E571" s="2"/>
      <c r="F571" t="s">
        <v>2</v>
      </c>
      <c r="G571" s="3">
        <v>45</v>
      </c>
      <c r="H571" s="4">
        <v>108193</v>
      </c>
      <c r="I571" t="s">
        <v>3</v>
      </c>
      <c r="J571" s="6">
        <v>1400001466</v>
      </c>
      <c r="K571" t="s">
        <v>0</v>
      </c>
      <c r="L571" s="3">
        <v>5829</v>
      </c>
      <c r="M571" s="3">
        <v>5798</v>
      </c>
      <c r="N571" s="6">
        <v>140000</v>
      </c>
      <c r="O571" s="6">
        <v>2007</v>
      </c>
      <c r="P571">
        <v>2652</v>
      </c>
      <c r="Q571" t="s">
        <v>32</v>
      </c>
    </row>
    <row r="572" spans="1:17" ht="13.95" customHeight="1" outlineLevel="3" x14ac:dyDescent="0.25">
      <c r="A572" t="s">
        <v>1</v>
      </c>
      <c r="B572" s="2">
        <v>38215</v>
      </c>
      <c r="C572" s="2">
        <v>38215</v>
      </c>
      <c r="D572" s="2">
        <v>38260</v>
      </c>
      <c r="E572" s="2"/>
      <c r="F572" t="s">
        <v>2</v>
      </c>
      <c r="G572" s="3">
        <v>45</v>
      </c>
      <c r="H572" s="4">
        <v>38700.199999999997</v>
      </c>
      <c r="I572" t="s">
        <v>3</v>
      </c>
      <c r="J572" s="6">
        <v>1400001467</v>
      </c>
      <c r="K572" t="s">
        <v>0</v>
      </c>
      <c r="L572" s="3">
        <v>5825</v>
      </c>
      <c r="M572" s="3">
        <v>5794</v>
      </c>
      <c r="N572" s="6">
        <v>140000</v>
      </c>
      <c r="O572" s="6">
        <v>2007</v>
      </c>
      <c r="P572">
        <v>2648</v>
      </c>
      <c r="Q572" t="s">
        <v>32</v>
      </c>
    </row>
    <row r="573" spans="1:17" ht="13.95" customHeight="1" outlineLevel="3" x14ac:dyDescent="0.25">
      <c r="A573" t="s">
        <v>1</v>
      </c>
      <c r="B573" s="2">
        <v>38215</v>
      </c>
      <c r="C573" s="2">
        <v>38215</v>
      </c>
      <c r="D573" s="2">
        <v>38260</v>
      </c>
      <c r="E573" s="2"/>
      <c r="F573" t="s">
        <v>2</v>
      </c>
      <c r="G573" s="3">
        <v>45</v>
      </c>
      <c r="H573" s="4">
        <v>29898</v>
      </c>
      <c r="I573" t="s">
        <v>3</v>
      </c>
      <c r="J573" s="6">
        <v>1400001468</v>
      </c>
      <c r="K573" t="s">
        <v>0</v>
      </c>
      <c r="L573" s="3">
        <v>5825</v>
      </c>
      <c r="M573" s="3">
        <v>5794</v>
      </c>
      <c r="N573" s="6">
        <v>140000</v>
      </c>
      <c r="O573" s="6">
        <v>2007</v>
      </c>
      <c r="P573">
        <v>2648</v>
      </c>
      <c r="Q573" t="s">
        <v>32</v>
      </c>
    </row>
    <row r="574" spans="1:17" ht="13.95" customHeight="1" outlineLevel="3" x14ac:dyDescent="0.25">
      <c r="A574" t="s">
        <v>1</v>
      </c>
      <c r="B574" s="2">
        <v>38380</v>
      </c>
      <c r="C574" s="2">
        <v>38380</v>
      </c>
      <c r="D574" s="2">
        <v>38425</v>
      </c>
      <c r="E574" s="2"/>
      <c r="F574" t="s">
        <v>2</v>
      </c>
      <c r="G574" s="3">
        <v>45</v>
      </c>
      <c r="H574" s="4">
        <v>6161</v>
      </c>
      <c r="I574" t="s">
        <v>3</v>
      </c>
      <c r="J574" s="6">
        <v>1400000295</v>
      </c>
      <c r="K574" t="s">
        <v>0</v>
      </c>
      <c r="L574" s="3">
        <v>5660</v>
      </c>
      <c r="M574" s="3">
        <v>5629</v>
      </c>
      <c r="N574" s="6">
        <v>140000</v>
      </c>
      <c r="O574" s="6">
        <v>2007</v>
      </c>
      <c r="P574">
        <v>2483</v>
      </c>
      <c r="Q574" t="s">
        <v>32</v>
      </c>
    </row>
    <row r="575" spans="1:17" ht="13.95" customHeight="1" outlineLevel="3" x14ac:dyDescent="0.25">
      <c r="A575" t="s">
        <v>1</v>
      </c>
      <c r="B575" s="2">
        <v>38380</v>
      </c>
      <c r="C575" s="2">
        <v>38380</v>
      </c>
      <c r="D575" s="2">
        <v>38425</v>
      </c>
      <c r="E575" s="2"/>
      <c r="F575" t="s">
        <v>2</v>
      </c>
      <c r="G575" s="3">
        <v>45</v>
      </c>
      <c r="H575" s="4">
        <v>3246.5</v>
      </c>
      <c r="I575" t="s">
        <v>3</v>
      </c>
      <c r="J575" s="6">
        <v>1400000297</v>
      </c>
      <c r="K575" t="s">
        <v>0</v>
      </c>
      <c r="L575" s="3">
        <v>5660</v>
      </c>
      <c r="M575" s="3">
        <v>5629</v>
      </c>
      <c r="N575" s="6">
        <v>140000</v>
      </c>
      <c r="O575" s="6">
        <v>2130</v>
      </c>
      <c r="P575">
        <v>2483</v>
      </c>
      <c r="Q575" t="s">
        <v>32</v>
      </c>
    </row>
    <row r="576" spans="1:17" ht="13.95" customHeight="1" outlineLevel="3" x14ac:dyDescent="0.25">
      <c r="A576" t="s">
        <v>1</v>
      </c>
      <c r="B576" s="2">
        <v>38380</v>
      </c>
      <c r="C576" s="2">
        <v>38380</v>
      </c>
      <c r="D576" s="2">
        <v>38425</v>
      </c>
      <c r="E576" s="2"/>
      <c r="F576" t="s">
        <v>2</v>
      </c>
      <c r="G576" s="3">
        <v>45</v>
      </c>
      <c r="H576" s="4">
        <v>27108.400000000001</v>
      </c>
      <c r="I576" t="s">
        <v>3</v>
      </c>
      <c r="J576" s="6">
        <v>1400000296</v>
      </c>
      <c r="K576" t="s">
        <v>0</v>
      </c>
      <c r="L576" s="3">
        <v>5660</v>
      </c>
      <c r="M576" s="3">
        <v>5629</v>
      </c>
      <c r="N576" s="6">
        <v>140000</v>
      </c>
      <c r="O576" s="6">
        <v>2130</v>
      </c>
      <c r="P576">
        <v>2483</v>
      </c>
      <c r="Q576" t="s">
        <v>32</v>
      </c>
    </row>
    <row r="577" spans="1:17" ht="13.95" customHeight="1" outlineLevel="3" x14ac:dyDescent="0.25">
      <c r="A577" t="s">
        <v>1</v>
      </c>
      <c r="B577" s="2">
        <v>38215</v>
      </c>
      <c r="C577" s="2">
        <v>38215</v>
      </c>
      <c r="D577" s="2">
        <v>38260</v>
      </c>
      <c r="E577" s="2"/>
      <c r="F577" t="s">
        <v>2</v>
      </c>
      <c r="G577" s="3">
        <v>45</v>
      </c>
      <c r="H577" s="4">
        <v>15544.8</v>
      </c>
      <c r="I577" t="s">
        <v>3</v>
      </c>
      <c r="J577" s="6">
        <v>1400001475</v>
      </c>
      <c r="K577" t="s">
        <v>0</v>
      </c>
      <c r="L577" s="3">
        <v>5825</v>
      </c>
      <c r="M577" s="3">
        <v>5794</v>
      </c>
      <c r="N577" s="6">
        <v>140000</v>
      </c>
      <c r="O577" s="6">
        <v>2130</v>
      </c>
      <c r="P577">
        <v>2648</v>
      </c>
      <c r="Q577" t="s">
        <v>32</v>
      </c>
    </row>
    <row r="578" spans="1:17" ht="13.95" customHeight="1" outlineLevel="3" x14ac:dyDescent="0.25">
      <c r="A578" t="s">
        <v>1</v>
      </c>
      <c r="B578" s="2">
        <v>38211</v>
      </c>
      <c r="C578" s="2">
        <v>38211</v>
      </c>
      <c r="D578" s="2">
        <v>38256</v>
      </c>
      <c r="E578" s="2"/>
      <c r="F578" t="s">
        <v>2</v>
      </c>
      <c r="G578" s="3">
        <v>45</v>
      </c>
      <c r="H578" s="4">
        <v>119802.05</v>
      </c>
      <c r="I578" t="s">
        <v>3</v>
      </c>
      <c r="J578" s="6">
        <v>1400001474</v>
      </c>
      <c r="K578" t="s">
        <v>0</v>
      </c>
      <c r="L578" s="3">
        <v>5829</v>
      </c>
      <c r="M578" s="3">
        <v>5798</v>
      </c>
      <c r="N578" s="6">
        <v>140000</v>
      </c>
      <c r="O578" s="6">
        <v>2130</v>
      </c>
      <c r="P578">
        <v>2652</v>
      </c>
      <c r="Q578" t="s">
        <v>32</v>
      </c>
    </row>
    <row r="579" spans="1:17" ht="13.95" customHeight="1" outlineLevel="3" x14ac:dyDescent="0.25">
      <c r="A579" t="s">
        <v>1</v>
      </c>
      <c r="B579" s="2">
        <v>38183</v>
      </c>
      <c r="C579" s="2">
        <v>38183</v>
      </c>
      <c r="D579" s="2">
        <v>38228</v>
      </c>
      <c r="E579" s="2"/>
      <c r="F579" t="s">
        <v>2</v>
      </c>
      <c r="G579" s="3">
        <v>45</v>
      </c>
      <c r="H579" s="4">
        <v>46900.4</v>
      </c>
      <c r="I579" t="s">
        <v>3</v>
      </c>
      <c r="J579" s="6">
        <v>1400001473</v>
      </c>
      <c r="K579" t="s">
        <v>0</v>
      </c>
      <c r="L579" s="3">
        <v>5857</v>
      </c>
      <c r="M579" s="3">
        <v>5826</v>
      </c>
      <c r="N579" s="6">
        <v>140000</v>
      </c>
      <c r="O579" s="6">
        <v>2130</v>
      </c>
      <c r="P579">
        <v>2680</v>
      </c>
      <c r="Q579" t="s">
        <v>32</v>
      </c>
    </row>
    <row r="580" spans="1:17" ht="13.95" customHeight="1" outlineLevel="3" x14ac:dyDescent="0.25">
      <c r="A580" t="s">
        <v>1</v>
      </c>
      <c r="B580" s="2">
        <v>37774</v>
      </c>
      <c r="C580" s="2">
        <v>37774</v>
      </c>
      <c r="D580" s="2">
        <v>37819</v>
      </c>
      <c r="E580" s="2"/>
      <c r="F580" t="s">
        <v>2</v>
      </c>
      <c r="G580" s="3">
        <v>45</v>
      </c>
      <c r="H580" s="4">
        <v>4928.8</v>
      </c>
      <c r="I580" t="s">
        <v>3</v>
      </c>
      <c r="J580" s="6">
        <v>1400001472</v>
      </c>
      <c r="K580" t="s">
        <v>0</v>
      </c>
      <c r="L580" s="3">
        <v>6266</v>
      </c>
      <c r="M580" s="3">
        <v>6235</v>
      </c>
      <c r="N580" s="6">
        <v>140000</v>
      </c>
      <c r="O580" s="6">
        <v>2130</v>
      </c>
      <c r="P580">
        <v>3089</v>
      </c>
      <c r="Q580" t="s">
        <v>32</v>
      </c>
    </row>
    <row r="581" spans="1:17" ht="13.95" customHeight="1" outlineLevel="3" x14ac:dyDescent="0.25">
      <c r="A581" t="s">
        <v>1</v>
      </c>
      <c r="B581" s="2">
        <v>37726</v>
      </c>
      <c r="C581" s="2">
        <v>37726</v>
      </c>
      <c r="D581" s="2">
        <v>37771</v>
      </c>
      <c r="E581" s="2"/>
      <c r="F581" t="s">
        <v>2</v>
      </c>
      <c r="G581" s="3">
        <v>45</v>
      </c>
      <c r="H581" s="4">
        <v>22876.9</v>
      </c>
      <c r="I581" t="s">
        <v>3</v>
      </c>
      <c r="J581" s="6">
        <v>1400001471</v>
      </c>
      <c r="K581" t="s">
        <v>0</v>
      </c>
      <c r="L581" s="3">
        <v>6314</v>
      </c>
      <c r="M581" s="3">
        <v>6283</v>
      </c>
      <c r="N581" s="6">
        <v>140000</v>
      </c>
      <c r="O581" s="6">
        <v>2130</v>
      </c>
      <c r="P581">
        <v>3137</v>
      </c>
      <c r="Q581" t="s">
        <v>32</v>
      </c>
    </row>
    <row r="582" spans="1:17" ht="13.95" customHeight="1" outlineLevel="3" x14ac:dyDescent="0.25">
      <c r="A582" t="s">
        <v>1</v>
      </c>
      <c r="B582" s="2">
        <v>37726</v>
      </c>
      <c r="C582" s="2">
        <v>37726</v>
      </c>
      <c r="D582" s="2">
        <v>37771</v>
      </c>
      <c r="E582" s="2"/>
      <c r="F582" t="s">
        <v>2</v>
      </c>
      <c r="G582" s="3">
        <v>45</v>
      </c>
      <c r="H582" s="4">
        <v>40978.6</v>
      </c>
      <c r="I582" t="s">
        <v>3</v>
      </c>
      <c r="J582" s="6">
        <v>1400001470</v>
      </c>
      <c r="K582" t="s">
        <v>0</v>
      </c>
      <c r="L582" s="3">
        <v>6314</v>
      </c>
      <c r="M582" s="3">
        <v>6283</v>
      </c>
      <c r="N582" s="6">
        <v>140000</v>
      </c>
      <c r="O582" s="6">
        <v>2130</v>
      </c>
      <c r="P582">
        <v>3137</v>
      </c>
      <c r="Q582" t="s">
        <v>32</v>
      </c>
    </row>
    <row r="583" spans="1:17" ht="13.95" customHeight="1" outlineLevel="3" x14ac:dyDescent="0.25">
      <c r="A583" t="s">
        <v>1</v>
      </c>
      <c r="B583" s="2">
        <v>37677</v>
      </c>
      <c r="C583" s="2">
        <v>37677</v>
      </c>
      <c r="D583" s="2">
        <v>37722</v>
      </c>
      <c r="E583" s="2"/>
      <c r="F583" t="s">
        <v>2</v>
      </c>
      <c r="G583" s="3">
        <v>45</v>
      </c>
      <c r="H583" s="4">
        <v>27108.400000000001</v>
      </c>
      <c r="I583" t="s">
        <v>3</v>
      </c>
      <c r="J583" s="6">
        <v>1400001469</v>
      </c>
      <c r="K583" t="s">
        <v>0</v>
      </c>
      <c r="L583" s="3">
        <v>6363</v>
      </c>
      <c r="M583" s="3">
        <v>6332</v>
      </c>
      <c r="N583" s="6">
        <v>140000</v>
      </c>
      <c r="O583" s="6">
        <v>2130</v>
      </c>
      <c r="P583">
        <v>3186</v>
      </c>
      <c r="Q583" t="s">
        <v>32</v>
      </c>
    </row>
    <row r="584" spans="1:17" ht="13.95" customHeight="1" outlineLevel="3" x14ac:dyDescent="0.25">
      <c r="A584" t="s">
        <v>1</v>
      </c>
      <c r="B584" s="2">
        <v>37587</v>
      </c>
      <c r="C584" s="2">
        <v>37587</v>
      </c>
      <c r="D584" s="2">
        <v>37632</v>
      </c>
      <c r="E584" s="2"/>
      <c r="F584" t="s">
        <v>2</v>
      </c>
      <c r="G584" s="3">
        <v>45</v>
      </c>
      <c r="H584" s="4">
        <v>10823.4</v>
      </c>
      <c r="I584" t="s">
        <v>3</v>
      </c>
      <c r="J584" s="6">
        <v>1400001433</v>
      </c>
      <c r="K584" t="s">
        <v>0</v>
      </c>
      <c r="L584" s="3">
        <v>6453</v>
      </c>
      <c r="M584" s="3">
        <v>6422</v>
      </c>
      <c r="N584" s="6">
        <v>140000</v>
      </c>
      <c r="O584" s="6">
        <v>2130</v>
      </c>
      <c r="P584">
        <v>3276</v>
      </c>
      <c r="Q584" t="s">
        <v>32</v>
      </c>
    </row>
    <row r="585" spans="1:17" ht="13.95" customHeight="1" outlineLevel="3" x14ac:dyDescent="0.25">
      <c r="A585" t="s">
        <v>1</v>
      </c>
      <c r="B585" s="2">
        <v>37594</v>
      </c>
      <c r="C585" s="2">
        <v>37594</v>
      </c>
      <c r="D585" s="2">
        <v>37639</v>
      </c>
      <c r="E585" s="2"/>
      <c r="F585" t="s">
        <v>2</v>
      </c>
      <c r="G585" s="3">
        <v>45</v>
      </c>
      <c r="H585" s="4">
        <v>11030.6</v>
      </c>
      <c r="I585" t="s">
        <v>3</v>
      </c>
      <c r="J585" s="6">
        <v>1400001485</v>
      </c>
      <c r="K585" t="s">
        <v>0</v>
      </c>
      <c r="L585" s="3">
        <v>6446</v>
      </c>
      <c r="M585" s="3">
        <v>6415</v>
      </c>
      <c r="N585" s="6">
        <v>140000</v>
      </c>
      <c r="O585" s="6">
        <v>2141</v>
      </c>
      <c r="P585">
        <v>3269</v>
      </c>
      <c r="Q585" t="s">
        <v>32</v>
      </c>
    </row>
    <row r="586" spans="1:17" ht="13.95" customHeight="1" outlineLevel="3" x14ac:dyDescent="0.25">
      <c r="A586" t="s">
        <v>1</v>
      </c>
      <c r="B586" s="2">
        <v>37594</v>
      </c>
      <c r="C586" s="2">
        <v>37594</v>
      </c>
      <c r="D586" s="2">
        <v>37639</v>
      </c>
      <c r="E586" s="2"/>
      <c r="F586" t="s">
        <v>2</v>
      </c>
      <c r="G586" s="3">
        <v>45</v>
      </c>
      <c r="H586" s="4">
        <v>19878.8</v>
      </c>
      <c r="I586" t="s">
        <v>3</v>
      </c>
      <c r="J586" s="6">
        <v>1400001486</v>
      </c>
      <c r="K586" t="s">
        <v>0</v>
      </c>
      <c r="L586" s="3">
        <v>6446</v>
      </c>
      <c r="M586" s="3">
        <v>6415</v>
      </c>
      <c r="N586" s="6">
        <v>140000</v>
      </c>
      <c r="O586" s="6">
        <v>2141</v>
      </c>
      <c r="P586">
        <v>3269</v>
      </c>
      <c r="Q586" t="s">
        <v>32</v>
      </c>
    </row>
    <row r="587" spans="1:17" ht="13.95" customHeight="1" outlineLevel="3" x14ac:dyDescent="0.25">
      <c r="A587" t="s">
        <v>1</v>
      </c>
      <c r="B587" s="2">
        <v>37594</v>
      </c>
      <c r="C587" s="2">
        <v>37594</v>
      </c>
      <c r="D587" s="2">
        <v>37639</v>
      </c>
      <c r="E587" s="2"/>
      <c r="F587" t="s">
        <v>2</v>
      </c>
      <c r="G587" s="3">
        <v>45</v>
      </c>
      <c r="H587" s="4">
        <v>19878.8</v>
      </c>
      <c r="I587" t="s">
        <v>3</v>
      </c>
      <c r="J587" s="6">
        <v>1400001487</v>
      </c>
      <c r="K587" t="s">
        <v>0</v>
      </c>
      <c r="L587" s="3">
        <v>6446</v>
      </c>
      <c r="M587" s="3">
        <v>6415</v>
      </c>
      <c r="N587" s="6">
        <v>140000</v>
      </c>
      <c r="O587" s="6">
        <v>2141</v>
      </c>
      <c r="P587">
        <v>3269</v>
      </c>
      <c r="Q587" t="s">
        <v>32</v>
      </c>
    </row>
    <row r="588" spans="1:17" ht="13.95" customHeight="1" outlineLevel="3" x14ac:dyDescent="0.25">
      <c r="A588" t="s">
        <v>1</v>
      </c>
      <c r="B588" s="2">
        <v>37587</v>
      </c>
      <c r="C588" s="2">
        <v>37587</v>
      </c>
      <c r="D588" s="2">
        <v>37632</v>
      </c>
      <c r="E588" s="2"/>
      <c r="F588" t="s">
        <v>2</v>
      </c>
      <c r="G588" s="3">
        <v>45</v>
      </c>
      <c r="H588" s="4">
        <v>15739.6</v>
      </c>
      <c r="I588" t="s">
        <v>3</v>
      </c>
      <c r="J588" s="6">
        <v>1400001488</v>
      </c>
      <c r="K588" t="s">
        <v>0</v>
      </c>
      <c r="L588" s="3">
        <v>6453</v>
      </c>
      <c r="M588" s="3">
        <v>6422</v>
      </c>
      <c r="N588" s="6">
        <v>140000</v>
      </c>
      <c r="O588" s="6">
        <v>2200</v>
      </c>
      <c r="P588">
        <v>3276</v>
      </c>
      <c r="Q588" t="s">
        <v>32</v>
      </c>
    </row>
    <row r="589" spans="1:17" ht="13.95" customHeight="1" outlineLevel="3" x14ac:dyDescent="0.25">
      <c r="A589" t="s">
        <v>1</v>
      </c>
      <c r="B589" s="2">
        <v>37587</v>
      </c>
      <c r="C589" s="2">
        <v>37587</v>
      </c>
      <c r="D589" s="2">
        <v>37632</v>
      </c>
      <c r="E589" s="2"/>
      <c r="F589" t="s">
        <v>2</v>
      </c>
      <c r="G589" s="3">
        <v>45</v>
      </c>
      <c r="H589" s="4">
        <v>50416.5</v>
      </c>
      <c r="I589" t="s">
        <v>3</v>
      </c>
      <c r="J589" s="6">
        <v>1400001489</v>
      </c>
      <c r="K589" t="s">
        <v>0</v>
      </c>
      <c r="L589" s="3">
        <v>6453</v>
      </c>
      <c r="M589" s="3">
        <v>6422</v>
      </c>
      <c r="N589" s="6">
        <v>140000</v>
      </c>
      <c r="O589" s="6">
        <v>2200</v>
      </c>
      <c r="P589">
        <v>3276</v>
      </c>
      <c r="Q589" t="s">
        <v>32</v>
      </c>
    </row>
    <row r="590" spans="1:17" ht="13.95" customHeight="1" outlineLevel="3" x14ac:dyDescent="0.25">
      <c r="A590" t="s">
        <v>1</v>
      </c>
      <c r="B590" s="2">
        <v>37726</v>
      </c>
      <c r="C590" s="2">
        <v>37726</v>
      </c>
      <c r="D590" s="2">
        <v>37771</v>
      </c>
      <c r="E590" s="2"/>
      <c r="F590" t="s">
        <v>2</v>
      </c>
      <c r="G590" s="3">
        <v>45</v>
      </c>
      <c r="H590" s="4">
        <v>196243.8</v>
      </c>
      <c r="I590" t="s">
        <v>3</v>
      </c>
      <c r="J590" s="6">
        <v>1400001490</v>
      </c>
      <c r="K590" t="s">
        <v>0</v>
      </c>
      <c r="L590" s="3">
        <v>6314</v>
      </c>
      <c r="M590" s="3">
        <v>6283</v>
      </c>
      <c r="N590" s="6">
        <v>140000</v>
      </c>
      <c r="O590" s="6">
        <v>2200</v>
      </c>
      <c r="P590">
        <v>3137</v>
      </c>
      <c r="Q590" t="s">
        <v>32</v>
      </c>
    </row>
    <row r="591" spans="1:17" ht="13.95" customHeight="1" outlineLevel="3" x14ac:dyDescent="0.25">
      <c r="A591" t="s">
        <v>1</v>
      </c>
      <c r="B591" s="2">
        <v>38183</v>
      </c>
      <c r="C591" s="2">
        <v>38183</v>
      </c>
      <c r="D591" s="2">
        <v>38228</v>
      </c>
      <c r="E591" s="2"/>
      <c r="F591" t="s">
        <v>2</v>
      </c>
      <c r="G591" s="3">
        <v>45</v>
      </c>
      <c r="H591" s="4">
        <v>174276.8</v>
      </c>
      <c r="I591" t="s">
        <v>3</v>
      </c>
      <c r="J591" s="6">
        <v>1400001491</v>
      </c>
      <c r="K591" t="s">
        <v>0</v>
      </c>
      <c r="L591" s="3">
        <v>5857</v>
      </c>
      <c r="M591" s="3">
        <v>5826</v>
      </c>
      <c r="N591" s="6">
        <v>140000</v>
      </c>
      <c r="O591" s="6">
        <v>2200</v>
      </c>
      <c r="P591">
        <v>2680</v>
      </c>
      <c r="Q591" t="s">
        <v>32</v>
      </c>
    </row>
    <row r="592" spans="1:17" ht="13.95" customHeight="1" outlineLevel="3" x14ac:dyDescent="0.25">
      <c r="A592" t="s">
        <v>1</v>
      </c>
      <c r="B592" s="2">
        <v>38183</v>
      </c>
      <c r="C592" s="2">
        <v>38183</v>
      </c>
      <c r="D592" s="2">
        <v>38228</v>
      </c>
      <c r="E592" s="2"/>
      <c r="F592" t="s">
        <v>2</v>
      </c>
      <c r="G592" s="3">
        <v>45</v>
      </c>
      <c r="H592" s="4">
        <v>37609.599999999999</v>
      </c>
      <c r="I592" t="s">
        <v>3</v>
      </c>
      <c r="J592" s="6">
        <v>1400001492</v>
      </c>
      <c r="K592" t="s">
        <v>0</v>
      </c>
      <c r="L592" s="3">
        <v>5857</v>
      </c>
      <c r="M592" s="3">
        <v>5826</v>
      </c>
      <c r="N592" s="6">
        <v>140000</v>
      </c>
      <c r="O592" s="6">
        <v>2200</v>
      </c>
      <c r="P592">
        <v>2680</v>
      </c>
      <c r="Q592" t="s">
        <v>32</v>
      </c>
    </row>
    <row r="593" spans="1:17" ht="13.95" customHeight="1" outlineLevel="3" x14ac:dyDescent="0.25">
      <c r="A593" t="s">
        <v>1</v>
      </c>
      <c r="B593" s="2">
        <v>38215</v>
      </c>
      <c r="C593" s="2">
        <v>38215</v>
      </c>
      <c r="D593" s="2">
        <v>38260</v>
      </c>
      <c r="E593" s="2"/>
      <c r="F593" t="s">
        <v>2</v>
      </c>
      <c r="G593" s="3">
        <v>45</v>
      </c>
      <c r="H593" s="4">
        <v>64400</v>
      </c>
      <c r="I593" t="s">
        <v>3</v>
      </c>
      <c r="J593" s="6">
        <v>1400001493</v>
      </c>
      <c r="K593" t="s">
        <v>0</v>
      </c>
      <c r="L593" s="3">
        <v>5825</v>
      </c>
      <c r="M593" s="3">
        <v>5794</v>
      </c>
      <c r="N593" s="6">
        <v>140000</v>
      </c>
      <c r="O593" s="6">
        <v>2200</v>
      </c>
      <c r="P593">
        <v>2648</v>
      </c>
      <c r="Q593" t="s">
        <v>32</v>
      </c>
    </row>
    <row r="594" spans="1:17" ht="13.95" customHeight="1" outlineLevel="3" x14ac:dyDescent="0.25">
      <c r="A594" t="s">
        <v>1</v>
      </c>
      <c r="B594" s="2">
        <v>38215</v>
      </c>
      <c r="C594" s="2">
        <v>38215</v>
      </c>
      <c r="D594" s="2">
        <v>38260</v>
      </c>
      <c r="E594" s="2"/>
      <c r="F594" t="s">
        <v>2</v>
      </c>
      <c r="G594" s="3">
        <v>45</v>
      </c>
      <c r="H594" s="4">
        <v>52524.5</v>
      </c>
      <c r="I594" t="s">
        <v>3</v>
      </c>
      <c r="J594" s="6">
        <v>1400001494</v>
      </c>
      <c r="K594" t="s">
        <v>0</v>
      </c>
      <c r="L594" s="3">
        <v>5825</v>
      </c>
      <c r="M594" s="3">
        <v>5794</v>
      </c>
      <c r="N594" s="6">
        <v>140000</v>
      </c>
      <c r="O594" s="6">
        <v>2200</v>
      </c>
      <c r="P594">
        <v>2648</v>
      </c>
      <c r="Q594" t="s">
        <v>32</v>
      </c>
    </row>
    <row r="595" spans="1:17" ht="13.95" customHeight="1" outlineLevel="3" x14ac:dyDescent="0.25">
      <c r="A595" t="s">
        <v>7</v>
      </c>
      <c r="B595" s="2">
        <v>36812</v>
      </c>
      <c r="C595" s="2">
        <v>36812</v>
      </c>
      <c r="D595" s="2">
        <v>36812</v>
      </c>
      <c r="E595" s="2"/>
      <c r="F595" t="s">
        <v>2</v>
      </c>
      <c r="G595" s="3">
        <v>0</v>
      </c>
      <c r="H595" s="4">
        <v>3447.41</v>
      </c>
      <c r="I595" t="s">
        <v>3</v>
      </c>
      <c r="J595" s="6">
        <v>1600000340</v>
      </c>
      <c r="K595" t="s">
        <v>8</v>
      </c>
      <c r="L595" s="3">
        <v>7242</v>
      </c>
      <c r="M595" s="3">
        <v>7242</v>
      </c>
      <c r="N595" s="6">
        <v>140000</v>
      </c>
      <c r="O595" s="6">
        <v>3450</v>
      </c>
      <c r="P595">
        <v>4096</v>
      </c>
      <c r="Q595" t="s">
        <v>32</v>
      </c>
    </row>
    <row r="596" spans="1:17" ht="13.95" customHeight="1" outlineLevel="3" x14ac:dyDescent="0.25">
      <c r="A596" t="s">
        <v>7</v>
      </c>
      <c r="B596" s="2">
        <v>36831</v>
      </c>
      <c r="C596" s="2">
        <v>36831</v>
      </c>
      <c r="D596" s="2">
        <v>36831</v>
      </c>
      <c r="E596" s="2"/>
      <c r="F596" t="s">
        <v>2</v>
      </c>
      <c r="G596" s="3">
        <v>0</v>
      </c>
      <c r="H596" s="4">
        <v>1995.57</v>
      </c>
      <c r="I596" t="s">
        <v>3</v>
      </c>
      <c r="J596" s="6">
        <v>1600000316</v>
      </c>
      <c r="K596" t="s">
        <v>8</v>
      </c>
      <c r="L596" s="3">
        <v>7223</v>
      </c>
      <c r="M596" s="3">
        <v>7223</v>
      </c>
      <c r="N596" s="6">
        <v>140000</v>
      </c>
      <c r="O596" s="6">
        <v>3450</v>
      </c>
      <c r="P596">
        <v>4077</v>
      </c>
      <c r="Q596" t="s">
        <v>32</v>
      </c>
    </row>
    <row r="597" spans="1:17" ht="13.95" customHeight="1" outlineLevel="3" x14ac:dyDescent="0.25">
      <c r="A597" t="s">
        <v>7</v>
      </c>
      <c r="B597" s="2">
        <v>36812</v>
      </c>
      <c r="C597" s="2">
        <v>36812</v>
      </c>
      <c r="D597" s="2">
        <v>36812</v>
      </c>
      <c r="E597" s="2"/>
      <c r="F597" t="s">
        <v>2</v>
      </c>
      <c r="G597" s="3">
        <v>0</v>
      </c>
      <c r="H597" s="4">
        <v>2746.19</v>
      </c>
      <c r="I597" t="s">
        <v>3</v>
      </c>
      <c r="J597" s="6">
        <v>1600000342</v>
      </c>
      <c r="K597" t="s">
        <v>0</v>
      </c>
      <c r="L597" s="3">
        <v>7242</v>
      </c>
      <c r="M597" s="3">
        <v>7242</v>
      </c>
      <c r="N597" s="6">
        <v>140000</v>
      </c>
      <c r="O597" s="6">
        <v>3454</v>
      </c>
      <c r="P597">
        <v>4096</v>
      </c>
      <c r="Q597" t="s">
        <v>32</v>
      </c>
    </row>
    <row r="598" spans="1:17" ht="13.95" customHeight="1" outlineLevel="3" x14ac:dyDescent="0.25">
      <c r="A598" t="s">
        <v>7</v>
      </c>
      <c r="B598" s="2">
        <v>36831</v>
      </c>
      <c r="C598" s="2">
        <v>36831</v>
      </c>
      <c r="D598" s="2">
        <v>36831</v>
      </c>
      <c r="E598" s="2"/>
      <c r="F598" t="s">
        <v>2</v>
      </c>
      <c r="G598" s="3">
        <v>0</v>
      </c>
      <c r="H598" s="4">
        <v>2487.44</v>
      </c>
      <c r="I598" t="s">
        <v>3</v>
      </c>
      <c r="J598" s="6">
        <v>1600000317</v>
      </c>
      <c r="K598" t="s">
        <v>0</v>
      </c>
      <c r="L598" s="3">
        <v>7223</v>
      </c>
      <c r="M598" s="3">
        <v>7223</v>
      </c>
      <c r="N598" s="6">
        <v>140000</v>
      </c>
      <c r="O598" s="6">
        <v>3454</v>
      </c>
      <c r="P598">
        <v>4077</v>
      </c>
      <c r="Q598" t="s">
        <v>32</v>
      </c>
    </row>
    <row r="599" spans="1:17" ht="13.95" customHeight="1" outlineLevel="3" x14ac:dyDescent="0.25">
      <c r="A599" t="s">
        <v>7</v>
      </c>
      <c r="B599" s="2">
        <v>36861</v>
      </c>
      <c r="C599" s="2">
        <v>36861</v>
      </c>
      <c r="D599" s="2">
        <v>36861</v>
      </c>
      <c r="E599" s="2"/>
      <c r="F599" t="s">
        <v>2</v>
      </c>
      <c r="G599" s="3">
        <v>0</v>
      </c>
      <c r="H599" s="4">
        <v>-174</v>
      </c>
      <c r="I599" t="s">
        <v>3</v>
      </c>
      <c r="J599" s="6">
        <v>1600000305</v>
      </c>
      <c r="K599" t="s">
        <v>0</v>
      </c>
      <c r="L599" s="3">
        <v>7193</v>
      </c>
      <c r="M599" s="3">
        <v>7193</v>
      </c>
      <c r="N599" s="6">
        <v>140000</v>
      </c>
      <c r="O599" s="6">
        <v>3454</v>
      </c>
      <c r="P599">
        <v>4047</v>
      </c>
      <c r="Q599" t="s">
        <v>32</v>
      </c>
    </row>
    <row r="600" spans="1:17" ht="13.95" customHeight="1" outlineLevel="3" x14ac:dyDescent="0.25">
      <c r="A600" t="s">
        <v>7</v>
      </c>
      <c r="B600" s="2">
        <v>36861</v>
      </c>
      <c r="C600" s="2">
        <v>36861</v>
      </c>
      <c r="D600" s="2">
        <v>36861</v>
      </c>
      <c r="E600" s="2"/>
      <c r="F600" t="s">
        <v>2</v>
      </c>
      <c r="G600" s="3">
        <v>0</v>
      </c>
      <c r="H600" s="4">
        <v>3932.25</v>
      </c>
      <c r="I600" t="s">
        <v>3</v>
      </c>
      <c r="J600" s="6">
        <v>1600000305</v>
      </c>
      <c r="K600" t="s">
        <v>0</v>
      </c>
      <c r="L600" s="3">
        <v>7193</v>
      </c>
      <c r="M600" s="3">
        <v>7193</v>
      </c>
      <c r="N600" s="6">
        <v>140000</v>
      </c>
      <c r="O600" s="6">
        <v>3454</v>
      </c>
      <c r="P600">
        <v>4047</v>
      </c>
      <c r="Q600" t="s">
        <v>32</v>
      </c>
    </row>
    <row r="601" spans="1:17" ht="13.95" customHeight="1" outlineLevel="3" x14ac:dyDescent="0.25">
      <c r="A601" t="s">
        <v>7</v>
      </c>
      <c r="B601" s="2">
        <v>36831</v>
      </c>
      <c r="C601" s="2">
        <v>36831</v>
      </c>
      <c r="D601" s="2">
        <v>36831</v>
      </c>
      <c r="E601" s="2"/>
      <c r="F601" t="s">
        <v>2</v>
      </c>
      <c r="G601" s="3">
        <v>0</v>
      </c>
      <c r="H601" s="4">
        <v>-174</v>
      </c>
      <c r="I601" t="s">
        <v>3</v>
      </c>
      <c r="J601" s="6">
        <v>1600000284</v>
      </c>
      <c r="K601" t="s">
        <v>0</v>
      </c>
      <c r="L601" s="3">
        <v>7223</v>
      </c>
      <c r="M601" s="3">
        <v>7223</v>
      </c>
      <c r="N601" s="6">
        <v>140000</v>
      </c>
      <c r="O601" s="6">
        <v>3454</v>
      </c>
      <c r="P601">
        <v>4077</v>
      </c>
      <c r="Q601" t="s">
        <v>32</v>
      </c>
    </row>
    <row r="602" spans="1:17" ht="13.95" customHeight="1" outlineLevel="3" x14ac:dyDescent="0.25">
      <c r="A602" t="s">
        <v>7</v>
      </c>
      <c r="B602" s="2">
        <v>36831</v>
      </c>
      <c r="C602" s="2">
        <v>36831</v>
      </c>
      <c r="D602" s="2">
        <v>36831</v>
      </c>
      <c r="E602" s="2"/>
      <c r="F602" t="s">
        <v>2</v>
      </c>
      <c r="G602" s="3">
        <v>0</v>
      </c>
      <c r="H602" s="4">
        <v>3932.25</v>
      </c>
      <c r="I602" t="s">
        <v>3</v>
      </c>
      <c r="J602" s="6">
        <v>1600000284</v>
      </c>
      <c r="K602" t="s">
        <v>0</v>
      </c>
      <c r="L602" s="3">
        <v>7223</v>
      </c>
      <c r="M602" s="3">
        <v>7223</v>
      </c>
      <c r="N602" s="6">
        <v>140000</v>
      </c>
      <c r="O602" s="6">
        <v>3454</v>
      </c>
      <c r="P602">
        <v>4077</v>
      </c>
      <c r="Q602" t="s">
        <v>32</v>
      </c>
    </row>
    <row r="603" spans="1:17" ht="13.95" customHeight="1" outlineLevel="3" x14ac:dyDescent="0.25">
      <c r="A603" t="s">
        <v>7</v>
      </c>
      <c r="B603" s="2">
        <v>36800</v>
      </c>
      <c r="C603" s="2">
        <v>36800</v>
      </c>
      <c r="D603" s="2">
        <v>36800</v>
      </c>
      <c r="E603" s="2"/>
      <c r="F603" t="s">
        <v>2</v>
      </c>
      <c r="G603" s="3">
        <v>0</v>
      </c>
      <c r="H603" s="4">
        <v>3932.25</v>
      </c>
      <c r="I603" t="s">
        <v>3</v>
      </c>
      <c r="J603" s="6">
        <v>1600000183</v>
      </c>
      <c r="K603" t="s">
        <v>0</v>
      </c>
      <c r="L603" s="3">
        <v>7254</v>
      </c>
      <c r="M603" s="3">
        <v>7254</v>
      </c>
      <c r="N603" s="6">
        <v>140000</v>
      </c>
      <c r="O603" s="6">
        <v>3454</v>
      </c>
      <c r="P603">
        <v>4108</v>
      </c>
      <c r="Q603" t="s">
        <v>32</v>
      </c>
    </row>
    <row r="604" spans="1:17" ht="13.95" customHeight="1" outlineLevel="3" x14ac:dyDescent="0.25">
      <c r="A604" t="s">
        <v>7</v>
      </c>
      <c r="B604" s="2">
        <v>36739</v>
      </c>
      <c r="C604" s="2">
        <v>36739</v>
      </c>
      <c r="D604" s="2">
        <v>36739</v>
      </c>
      <c r="E604" s="2"/>
      <c r="F604" t="s">
        <v>2</v>
      </c>
      <c r="G604" s="3">
        <v>0</v>
      </c>
      <c r="H604" s="4">
        <v>3932.25</v>
      </c>
      <c r="I604" t="s">
        <v>3</v>
      </c>
      <c r="J604" s="6">
        <v>1600000181</v>
      </c>
      <c r="K604" t="s">
        <v>0</v>
      </c>
      <c r="L604" s="3">
        <v>7315</v>
      </c>
      <c r="M604" s="3">
        <v>7315</v>
      </c>
      <c r="N604" s="6">
        <v>140000</v>
      </c>
      <c r="O604" s="6">
        <v>3454</v>
      </c>
      <c r="P604">
        <v>4169</v>
      </c>
      <c r="Q604" t="s">
        <v>32</v>
      </c>
    </row>
    <row r="605" spans="1:17" ht="13.95" customHeight="1" outlineLevel="3" x14ac:dyDescent="0.25">
      <c r="A605" t="s">
        <v>7</v>
      </c>
      <c r="B605" s="2">
        <v>36770</v>
      </c>
      <c r="C605" s="2">
        <v>36770</v>
      </c>
      <c r="D605" s="2">
        <v>36770</v>
      </c>
      <c r="E605" s="2"/>
      <c r="F605" t="s">
        <v>2</v>
      </c>
      <c r="G605" s="3">
        <v>0</v>
      </c>
      <c r="H605" s="4">
        <v>3932.25</v>
      </c>
      <c r="I605" t="s">
        <v>3</v>
      </c>
      <c r="J605" s="6">
        <v>1600000182</v>
      </c>
      <c r="K605" t="s">
        <v>0</v>
      </c>
      <c r="L605" s="3">
        <v>7284</v>
      </c>
      <c r="M605" s="3">
        <v>7284</v>
      </c>
      <c r="N605" s="6">
        <v>140000</v>
      </c>
      <c r="O605" s="6">
        <v>3454</v>
      </c>
      <c r="P605">
        <v>4138</v>
      </c>
      <c r="Q605" t="s">
        <v>32</v>
      </c>
    </row>
    <row r="606" spans="1:17" ht="13.95" customHeight="1" outlineLevel="3" x14ac:dyDescent="0.25">
      <c r="A606" t="s">
        <v>7</v>
      </c>
      <c r="B606" s="2">
        <v>36831</v>
      </c>
      <c r="C606" s="2">
        <v>36831</v>
      </c>
      <c r="D606" s="2">
        <v>36831</v>
      </c>
      <c r="E606" s="2"/>
      <c r="F606" t="s">
        <v>2</v>
      </c>
      <c r="G606" s="3">
        <v>0</v>
      </c>
      <c r="H606" s="4">
        <v>448.91</v>
      </c>
      <c r="I606" t="s">
        <v>3</v>
      </c>
      <c r="J606" s="6">
        <v>1600000323</v>
      </c>
      <c r="K606" t="s">
        <v>0</v>
      </c>
      <c r="L606" s="3">
        <v>7223</v>
      </c>
      <c r="M606" s="3">
        <v>7223</v>
      </c>
      <c r="N606" s="6">
        <v>140000</v>
      </c>
      <c r="O606" s="6">
        <v>3460</v>
      </c>
      <c r="P606">
        <v>4077</v>
      </c>
      <c r="Q606" t="s">
        <v>32</v>
      </c>
    </row>
    <row r="607" spans="1:17" ht="13.95" customHeight="1" outlineLevel="3" x14ac:dyDescent="0.25">
      <c r="A607" t="s">
        <v>7</v>
      </c>
      <c r="B607" s="2">
        <v>36812</v>
      </c>
      <c r="C607" s="2">
        <v>36812</v>
      </c>
      <c r="D607" s="2">
        <v>36812</v>
      </c>
      <c r="E607" s="2"/>
      <c r="F607" t="s">
        <v>2</v>
      </c>
      <c r="G607" s="3">
        <v>0</v>
      </c>
      <c r="H607" s="4">
        <v>584.58000000000004</v>
      </c>
      <c r="I607" t="s">
        <v>3</v>
      </c>
      <c r="J607" s="6">
        <v>1600000347</v>
      </c>
      <c r="K607" t="s">
        <v>0</v>
      </c>
      <c r="L607" s="3">
        <v>7242</v>
      </c>
      <c r="M607" s="3">
        <v>7242</v>
      </c>
      <c r="N607" s="6">
        <v>140000</v>
      </c>
      <c r="O607" s="6">
        <v>3460</v>
      </c>
      <c r="P607">
        <v>4096</v>
      </c>
      <c r="Q607" t="s">
        <v>32</v>
      </c>
    </row>
    <row r="608" spans="1:17" ht="13.95" customHeight="1" outlineLevel="3" x14ac:dyDescent="0.25">
      <c r="A608" t="s">
        <v>7</v>
      </c>
      <c r="B608" s="2">
        <v>36892</v>
      </c>
      <c r="C608" s="2">
        <v>36892</v>
      </c>
      <c r="D608" s="2">
        <v>36892</v>
      </c>
      <c r="E608" s="2"/>
      <c r="F608" t="s">
        <v>2</v>
      </c>
      <c r="G608" s="3">
        <v>0</v>
      </c>
      <c r="H608" s="4">
        <v>521.52</v>
      </c>
      <c r="I608" t="s">
        <v>3</v>
      </c>
      <c r="J608" s="6">
        <v>1600000015</v>
      </c>
      <c r="K608" t="s">
        <v>0</v>
      </c>
      <c r="L608" s="3">
        <v>7162</v>
      </c>
      <c r="M608" s="3">
        <v>7162</v>
      </c>
      <c r="N608" s="6">
        <v>140000</v>
      </c>
      <c r="O608" s="6">
        <v>3460</v>
      </c>
      <c r="P608">
        <v>4016</v>
      </c>
      <c r="Q608" t="s">
        <v>32</v>
      </c>
    </row>
    <row r="609" spans="1:17" ht="13.95" customHeight="1" outlineLevel="3" x14ac:dyDescent="0.25">
      <c r="A609" t="s">
        <v>7</v>
      </c>
      <c r="B609" s="2">
        <v>36892</v>
      </c>
      <c r="C609" s="2">
        <v>36892</v>
      </c>
      <c r="D609" s="2">
        <v>36892</v>
      </c>
      <c r="E609" s="2"/>
      <c r="F609" t="s">
        <v>2</v>
      </c>
      <c r="G609" s="3">
        <v>0</v>
      </c>
      <c r="H609" s="4">
        <v>25</v>
      </c>
      <c r="I609" t="s">
        <v>3</v>
      </c>
      <c r="J609" s="6">
        <v>1600000015</v>
      </c>
      <c r="K609" t="s">
        <v>0</v>
      </c>
      <c r="L609" s="3">
        <v>7162</v>
      </c>
      <c r="M609" s="3">
        <v>7162</v>
      </c>
      <c r="N609" s="6">
        <v>140000</v>
      </c>
      <c r="O609" s="6">
        <v>3460</v>
      </c>
      <c r="P609">
        <v>4016</v>
      </c>
      <c r="Q609" t="s">
        <v>32</v>
      </c>
    </row>
    <row r="610" spans="1:17" ht="13.95" customHeight="1" outlineLevel="3" x14ac:dyDescent="0.25">
      <c r="A610" t="s">
        <v>7</v>
      </c>
      <c r="B610" s="2">
        <v>36892</v>
      </c>
      <c r="C610" s="2">
        <v>36892</v>
      </c>
      <c r="D610" s="2">
        <v>36892</v>
      </c>
      <c r="E610" s="2"/>
      <c r="F610" t="s">
        <v>2</v>
      </c>
      <c r="G610" s="3">
        <v>0</v>
      </c>
      <c r="H610" s="4">
        <v>5515.8</v>
      </c>
      <c r="I610" t="s">
        <v>3</v>
      </c>
      <c r="J610" s="6">
        <v>1600000014</v>
      </c>
      <c r="K610" t="s">
        <v>0</v>
      </c>
      <c r="L610" s="3">
        <v>7162</v>
      </c>
      <c r="M610" s="3">
        <v>7162</v>
      </c>
      <c r="N610" s="6">
        <v>140000</v>
      </c>
      <c r="O610" s="6">
        <v>3463</v>
      </c>
      <c r="P610">
        <v>4016</v>
      </c>
      <c r="Q610" t="s">
        <v>32</v>
      </c>
    </row>
    <row r="611" spans="1:17" ht="13.95" customHeight="1" outlineLevel="3" x14ac:dyDescent="0.25">
      <c r="A611" t="s">
        <v>7</v>
      </c>
      <c r="B611" s="2">
        <v>36812</v>
      </c>
      <c r="C611" s="2">
        <v>36812</v>
      </c>
      <c r="D611" s="2">
        <v>36812</v>
      </c>
      <c r="E611" s="2"/>
      <c r="F611" t="s">
        <v>2</v>
      </c>
      <c r="G611" s="3">
        <v>0</v>
      </c>
      <c r="H611" s="4">
        <v>1926.71</v>
      </c>
      <c r="I611" t="s">
        <v>3</v>
      </c>
      <c r="J611" s="6">
        <v>1600000344</v>
      </c>
      <c r="K611" t="s">
        <v>0</v>
      </c>
      <c r="L611" s="3">
        <v>7242</v>
      </c>
      <c r="M611" s="3">
        <v>7242</v>
      </c>
      <c r="N611" s="6">
        <v>140000</v>
      </c>
      <c r="O611" s="6">
        <v>3463</v>
      </c>
      <c r="P611">
        <v>4096</v>
      </c>
      <c r="Q611" t="s">
        <v>32</v>
      </c>
    </row>
    <row r="612" spans="1:17" ht="13.95" customHeight="1" outlineLevel="3" x14ac:dyDescent="0.25">
      <c r="A612" t="s">
        <v>7</v>
      </c>
      <c r="B612" s="2">
        <v>36831</v>
      </c>
      <c r="C612" s="2">
        <v>36831</v>
      </c>
      <c r="D612" s="2">
        <v>36831</v>
      </c>
      <c r="E612" s="2"/>
      <c r="F612" t="s">
        <v>2</v>
      </c>
      <c r="G612" s="3">
        <v>0</v>
      </c>
      <c r="H612" s="4">
        <v>1708.23</v>
      </c>
      <c r="I612" t="s">
        <v>3</v>
      </c>
      <c r="J612" s="6">
        <v>1600000320</v>
      </c>
      <c r="K612" t="s">
        <v>0</v>
      </c>
      <c r="L612" s="3">
        <v>7223</v>
      </c>
      <c r="M612" s="3">
        <v>7223</v>
      </c>
      <c r="N612" s="6">
        <v>140000</v>
      </c>
      <c r="O612" s="6">
        <v>3463</v>
      </c>
      <c r="P612">
        <v>4077</v>
      </c>
      <c r="Q612" t="s">
        <v>32</v>
      </c>
    </row>
    <row r="613" spans="1:17" ht="13.95" customHeight="1" outlineLevel="3" x14ac:dyDescent="0.25">
      <c r="A613" t="s">
        <v>7</v>
      </c>
      <c r="B613" s="2">
        <v>36892</v>
      </c>
      <c r="C613" s="2">
        <v>36892</v>
      </c>
      <c r="D613" s="2">
        <v>36892</v>
      </c>
      <c r="E613" s="2"/>
      <c r="F613" t="s">
        <v>2</v>
      </c>
      <c r="G613" s="3">
        <v>0</v>
      </c>
      <c r="H613" s="4">
        <v>455.05</v>
      </c>
      <c r="I613" t="s">
        <v>3</v>
      </c>
      <c r="J613" s="6">
        <v>1600000000</v>
      </c>
      <c r="K613" t="s">
        <v>0</v>
      </c>
      <c r="L613" s="3">
        <v>7162</v>
      </c>
      <c r="M613" s="3">
        <v>7162</v>
      </c>
      <c r="N613" s="6">
        <v>140000</v>
      </c>
      <c r="O613" s="6">
        <v>3464</v>
      </c>
      <c r="P613">
        <v>4016</v>
      </c>
      <c r="Q613" t="s">
        <v>32</v>
      </c>
    </row>
    <row r="614" spans="1:17" ht="13.95" customHeight="1" outlineLevel="3" x14ac:dyDescent="0.25">
      <c r="A614" t="s">
        <v>7</v>
      </c>
      <c r="B614" s="2">
        <v>36892</v>
      </c>
      <c r="C614" s="2">
        <v>36892</v>
      </c>
      <c r="D614" s="2">
        <v>36892</v>
      </c>
      <c r="E614" s="2"/>
      <c r="F614" t="s">
        <v>2</v>
      </c>
      <c r="G614" s="3">
        <v>0</v>
      </c>
      <c r="H614" s="4">
        <v>403.92</v>
      </c>
      <c r="I614" t="s">
        <v>3</v>
      </c>
      <c r="J614" s="6">
        <v>1600000001</v>
      </c>
      <c r="K614" t="s">
        <v>0</v>
      </c>
      <c r="L614" s="3">
        <v>7162</v>
      </c>
      <c r="M614" s="3">
        <v>7162</v>
      </c>
      <c r="N614" s="6">
        <v>140000</v>
      </c>
      <c r="O614" s="6">
        <v>3465</v>
      </c>
      <c r="P614">
        <v>4016</v>
      </c>
      <c r="Q614" t="s">
        <v>32</v>
      </c>
    </row>
    <row r="615" spans="1:17" ht="13.95" customHeight="1" outlineLevel="3" x14ac:dyDescent="0.25">
      <c r="A615" t="s">
        <v>7</v>
      </c>
      <c r="B615" s="2">
        <v>36892</v>
      </c>
      <c r="C615" s="2">
        <v>36892</v>
      </c>
      <c r="D615" s="2">
        <v>36892</v>
      </c>
      <c r="E615" s="2"/>
      <c r="F615" t="s">
        <v>2</v>
      </c>
      <c r="G615" s="3">
        <v>0</v>
      </c>
      <c r="H615" s="4">
        <v>347.68</v>
      </c>
      <c r="I615" t="s">
        <v>3</v>
      </c>
      <c r="J615" s="6">
        <v>1600000002</v>
      </c>
      <c r="K615" t="s">
        <v>0</v>
      </c>
      <c r="L615" s="3">
        <v>7162</v>
      </c>
      <c r="M615" s="3">
        <v>7162</v>
      </c>
      <c r="N615" s="6">
        <v>140000</v>
      </c>
      <c r="O615" s="6">
        <v>3466</v>
      </c>
      <c r="P615">
        <v>4016</v>
      </c>
      <c r="Q615" t="s">
        <v>32</v>
      </c>
    </row>
    <row r="616" spans="1:17" ht="13.95" customHeight="1" outlineLevel="3" x14ac:dyDescent="0.25">
      <c r="A616" t="s">
        <v>7</v>
      </c>
      <c r="B616" s="2">
        <v>36892</v>
      </c>
      <c r="C616" s="2">
        <v>36892</v>
      </c>
      <c r="D616" s="2">
        <v>36892</v>
      </c>
      <c r="E616" s="2"/>
      <c r="F616" t="s">
        <v>2</v>
      </c>
      <c r="G616" s="3">
        <v>0</v>
      </c>
      <c r="H616" s="4">
        <v>557.30999999999995</v>
      </c>
      <c r="I616" t="s">
        <v>3</v>
      </c>
      <c r="J616" s="6">
        <v>1600000003</v>
      </c>
      <c r="K616" t="s">
        <v>0</v>
      </c>
      <c r="L616" s="3">
        <v>7162</v>
      </c>
      <c r="M616" s="3">
        <v>7162</v>
      </c>
      <c r="N616" s="6">
        <v>140000</v>
      </c>
      <c r="O616" s="6">
        <v>3467</v>
      </c>
      <c r="P616">
        <v>4016</v>
      </c>
      <c r="Q616" t="s">
        <v>32</v>
      </c>
    </row>
    <row r="617" spans="1:17" ht="13.95" customHeight="1" outlineLevel="3" x14ac:dyDescent="0.25">
      <c r="A617" t="s">
        <v>7</v>
      </c>
      <c r="B617" s="2">
        <v>36892</v>
      </c>
      <c r="C617" s="2">
        <v>36892</v>
      </c>
      <c r="D617" s="2">
        <v>36892</v>
      </c>
      <c r="E617" s="2"/>
      <c r="F617" t="s">
        <v>2</v>
      </c>
      <c r="G617" s="3">
        <v>0</v>
      </c>
      <c r="H617" s="4">
        <v>567.53</v>
      </c>
      <c r="I617" t="s">
        <v>3</v>
      </c>
      <c r="J617" s="6">
        <v>1600000004</v>
      </c>
      <c r="K617" t="s">
        <v>0</v>
      </c>
      <c r="L617" s="3">
        <v>7162</v>
      </c>
      <c r="M617" s="3">
        <v>7162</v>
      </c>
      <c r="N617" s="6">
        <v>140000</v>
      </c>
      <c r="O617" s="6">
        <v>3468</v>
      </c>
      <c r="P617">
        <v>4016</v>
      </c>
      <c r="Q617" t="s">
        <v>32</v>
      </c>
    </row>
    <row r="618" spans="1:17" ht="13.95" customHeight="1" outlineLevel="3" x14ac:dyDescent="0.25">
      <c r="A618" t="s">
        <v>7</v>
      </c>
      <c r="B618" s="2">
        <v>36892</v>
      </c>
      <c r="C618" s="2">
        <v>36892</v>
      </c>
      <c r="D618" s="2">
        <v>36892</v>
      </c>
      <c r="E618" s="2"/>
      <c r="F618" t="s">
        <v>2</v>
      </c>
      <c r="G618" s="3">
        <v>0</v>
      </c>
      <c r="H618" s="4">
        <v>347.68</v>
      </c>
      <c r="I618" t="s">
        <v>3</v>
      </c>
      <c r="J618" s="6">
        <v>1600000005</v>
      </c>
      <c r="K618" t="s">
        <v>0</v>
      </c>
      <c r="L618" s="3">
        <v>7162</v>
      </c>
      <c r="M618" s="3">
        <v>7162</v>
      </c>
      <c r="N618" s="6">
        <v>140000</v>
      </c>
      <c r="O618" s="6">
        <v>3469</v>
      </c>
      <c r="P618">
        <v>4016</v>
      </c>
      <c r="Q618" t="s">
        <v>32</v>
      </c>
    </row>
    <row r="619" spans="1:17" ht="13.95" customHeight="1" outlineLevel="3" x14ac:dyDescent="0.25">
      <c r="A619" t="s">
        <v>7</v>
      </c>
      <c r="B619" s="2">
        <v>36892</v>
      </c>
      <c r="C619" s="2">
        <v>36892</v>
      </c>
      <c r="D619" s="2">
        <v>36892</v>
      </c>
      <c r="E619" s="2"/>
      <c r="F619" t="s">
        <v>2</v>
      </c>
      <c r="G619" s="3">
        <v>0</v>
      </c>
      <c r="H619" s="4">
        <v>449.94</v>
      </c>
      <c r="I619" t="s">
        <v>3</v>
      </c>
      <c r="J619" s="6">
        <v>1600000006</v>
      </c>
      <c r="K619" t="s">
        <v>0</v>
      </c>
      <c r="L619" s="3">
        <v>7162</v>
      </c>
      <c r="M619" s="3">
        <v>7162</v>
      </c>
      <c r="N619" s="6">
        <v>140000</v>
      </c>
      <c r="O619" s="6">
        <v>3470</v>
      </c>
      <c r="P619">
        <v>4016</v>
      </c>
      <c r="Q619" t="s">
        <v>32</v>
      </c>
    </row>
    <row r="620" spans="1:17" ht="13.95" customHeight="1" outlineLevel="3" x14ac:dyDescent="0.25">
      <c r="A620" t="s">
        <v>7</v>
      </c>
      <c r="B620" s="2">
        <v>36892</v>
      </c>
      <c r="C620" s="2">
        <v>36892</v>
      </c>
      <c r="D620" s="2">
        <v>36892</v>
      </c>
      <c r="E620" s="2"/>
      <c r="F620" t="s">
        <v>2</v>
      </c>
      <c r="G620" s="3">
        <v>0</v>
      </c>
      <c r="H620" s="4">
        <v>455.05</v>
      </c>
      <c r="I620" t="s">
        <v>3</v>
      </c>
      <c r="J620" s="6">
        <v>1600000007</v>
      </c>
      <c r="K620" t="s">
        <v>0</v>
      </c>
      <c r="L620" s="3">
        <v>7162</v>
      </c>
      <c r="M620" s="3">
        <v>7162</v>
      </c>
      <c r="N620" s="6">
        <v>140000</v>
      </c>
      <c r="O620" s="6">
        <v>3471</v>
      </c>
      <c r="P620">
        <v>4016</v>
      </c>
      <c r="Q620" t="s">
        <v>32</v>
      </c>
    </row>
    <row r="621" spans="1:17" ht="13.95" customHeight="1" outlineLevel="3" x14ac:dyDescent="0.25">
      <c r="A621" t="s">
        <v>7</v>
      </c>
      <c r="B621" s="2">
        <v>36892</v>
      </c>
      <c r="C621" s="2">
        <v>36892</v>
      </c>
      <c r="D621" s="2">
        <v>36892</v>
      </c>
      <c r="E621" s="2"/>
      <c r="F621" t="s">
        <v>2</v>
      </c>
      <c r="G621" s="3">
        <v>0</v>
      </c>
      <c r="H621" s="4">
        <v>587.99</v>
      </c>
      <c r="I621" t="s">
        <v>3</v>
      </c>
      <c r="J621" s="6">
        <v>1600000009</v>
      </c>
      <c r="K621" t="s">
        <v>0</v>
      </c>
      <c r="L621" s="3">
        <v>7162</v>
      </c>
      <c r="M621" s="3">
        <v>7162</v>
      </c>
      <c r="N621" s="6">
        <v>140000</v>
      </c>
      <c r="O621" s="6">
        <v>3473</v>
      </c>
      <c r="P621">
        <v>4016</v>
      </c>
      <c r="Q621" t="s">
        <v>32</v>
      </c>
    </row>
    <row r="622" spans="1:17" ht="13.95" customHeight="1" outlineLevel="3" x14ac:dyDescent="0.25">
      <c r="A622" t="s">
        <v>7</v>
      </c>
      <c r="B622" s="2">
        <v>36892</v>
      </c>
      <c r="C622" s="2">
        <v>36892</v>
      </c>
      <c r="D622" s="2">
        <v>36892</v>
      </c>
      <c r="E622" s="2"/>
      <c r="F622" t="s">
        <v>2</v>
      </c>
      <c r="G622" s="3">
        <v>0</v>
      </c>
      <c r="H622" s="4">
        <v>1779.3</v>
      </c>
      <c r="I622" t="s">
        <v>3</v>
      </c>
      <c r="J622" s="6">
        <v>1600000013</v>
      </c>
      <c r="K622" t="s">
        <v>0</v>
      </c>
      <c r="L622" s="3">
        <v>7162</v>
      </c>
      <c r="M622" s="3">
        <v>7162</v>
      </c>
      <c r="N622" s="6">
        <v>140000</v>
      </c>
      <c r="O622" s="6">
        <v>3474</v>
      </c>
      <c r="P622">
        <v>4016</v>
      </c>
      <c r="Q622" t="s">
        <v>32</v>
      </c>
    </row>
    <row r="623" spans="1:17" ht="13.95" customHeight="1" outlineLevel="3" x14ac:dyDescent="0.25">
      <c r="A623" t="s">
        <v>7</v>
      </c>
      <c r="B623" s="2">
        <v>36800</v>
      </c>
      <c r="C623" s="2">
        <v>36822</v>
      </c>
      <c r="D623" s="2">
        <v>36800</v>
      </c>
      <c r="E623" s="2"/>
      <c r="F623" t="s">
        <v>2</v>
      </c>
      <c r="G623" s="3">
        <v>0</v>
      </c>
      <c r="H623" s="4">
        <v>3201.6</v>
      </c>
      <c r="I623" t="s">
        <v>3</v>
      </c>
      <c r="J623" s="6">
        <v>1600000209</v>
      </c>
      <c r="K623" t="s">
        <v>0</v>
      </c>
      <c r="L623" s="3">
        <v>7254</v>
      </c>
      <c r="M623" s="3">
        <v>7254</v>
      </c>
      <c r="N623" s="6">
        <v>140000</v>
      </c>
      <c r="O623" s="6">
        <v>3477</v>
      </c>
      <c r="P623">
        <v>4108</v>
      </c>
      <c r="Q623" t="s">
        <v>32</v>
      </c>
    </row>
    <row r="624" spans="1:17" ht="13.95" customHeight="1" outlineLevel="3" x14ac:dyDescent="0.25">
      <c r="A624" t="s">
        <v>7</v>
      </c>
      <c r="B624" s="2">
        <v>36831</v>
      </c>
      <c r="C624" s="2">
        <v>36822</v>
      </c>
      <c r="D624" s="2">
        <v>36831</v>
      </c>
      <c r="E624" s="2"/>
      <c r="F624" t="s">
        <v>2</v>
      </c>
      <c r="G624" s="3">
        <v>0</v>
      </c>
      <c r="H624" s="4">
        <v>3201.6</v>
      </c>
      <c r="I624" t="s">
        <v>3</v>
      </c>
      <c r="J624" s="6">
        <v>1600000210</v>
      </c>
      <c r="K624" t="s">
        <v>0</v>
      </c>
      <c r="L624" s="3">
        <v>7223</v>
      </c>
      <c r="M624" s="3">
        <v>7223</v>
      </c>
      <c r="N624" s="6">
        <v>140000</v>
      </c>
      <c r="O624" s="6">
        <v>3477</v>
      </c>
      <c r="P624">
        <v>4077</v>
      </c>
      <c r="Q624" t="s">
        <v>32</v>
      </c>
    </row>
    <row r="625" spans="1:17" ht="13.95" customHeight="1" outlineLevel="3" x14ac:dyDescent="0.25">
      <c r="A625" t="s">
        <v>7</v>
      </c>
      <c r="B625" s="2">
        <v>36861</v>
      </c>
      <c r="C625" s="2">
        <v>36861</v>
      </c>
      <c r="D625" s="2">
        <v>36861</v>
      </c>
      <c r="E625" s="2"/>
      <c r="F625" t="s">
        <v>2</v>
      </c>
      <c r="G625" s="3">
        <v>0</v>
      </c>
      <c r="H625" s="4">
        <v>3201.6</v>
      </c>
      <c r="I625" t="s">
        <v>3</v>
      </c>
      <c r="J625" s="6">
        <v>1600000308</v>
      </c>
      <c r="K625" t="s">
        <v>0</v>
      </c>
      <c r="L625" s="3">
        <v>7193</v>
      </c>
      <c r="M625" s="3">
        <v>7193</v>
      </c>
      <c r="N625" s="6">
        <v>140000</v>
      </c>
      <c r="O625" s="6">
        <v>3477</v>
      </c>
      <c r="P625">
        <v>4047</v>
      </c>
      <c r="Q625" t="s">
        <v>32</v>
      </c>
    </row>
    <row r="626" spans="1:17" ht="13.95" customHeight="1" outlineLevel="3" x14ac:dyDescent="0.25">
      <c r="A626" t="s">
        <v>7</v>
      </c>
      <c r="B626" s="2">
        <v>36831</v>
      </c>
      <c r="C626" s="2">
        <v>36831</v>
      </c>
      <c r="D626" s="2">
        <v>36831</v>
      </c>
      <c r="E626" s="2"/>
      <c r="F626" t="s">
        <v>2</v>
      </c>
      <c r="G626" s="3">
        <v>0</v>
      </c>
      <c r="H626" s="4">
        <v>943.33</v>
      </c>
      <c r="I626" t="s">
        <v>3</v>
      </c>
      <c r="J626" s="6">
        <v>1600000321</v>
      </c>
      <c r="K626" t="s">
        <v>0</v>
      </c>
      <c r="L626" s="3">
        <v>7223</v>
      </c>
      <c r="M626" s="3">
        <v>7223</v>
      </c>
      <c r="N626" s="6">
        <v>140000</v>
      </c>
      <c r="O626" s="6">
        <v>3477</v>
      </c>
      <c r="P626">
        <v>4077</v>
      </c>
      <c r="Q626" t="s">
        <v>32</v>
      </c>
    </row>
    <row r="627" spans="1:17" ht="13.95" customHeight="1" outlineLevel="3" x14ac:dyDescent="0.25">
      <c r="A627" t="s">
        <v>7</v>
      </c>
      <c r="B627" s="2">
        <v>36831</v>
      </c>
      <c r="C627" s="2">
        <v>36831</v>
      </c>
      <c r="D627" s="2">
        <v>36831</v>
      </c>
      <c r="E627" s="2"/>
      <c r="F627" t="s">
        <v>2</v>
      </c>
      <c r="G627" s="3">
        <v>0</v>
      </c>
      <c r="H627" s="4">
        <v>-917.28</v>
      </c>
      <c r="I627" t="s">
        <v>3</v>
      </c>
      <c r="J627" s="6">
        <v>1600000330</v>
      </c>
      <c r="K627" t="s">
        <v>0</v>
      </c>
      <c r="L627" s="3">
        <v>7223</v>
      </c>
      <c r="M627" s="3">
        <v>7223</v>
      </c>
      <c r="N627" s="6">
        <v>140000</v>
      </c>
      <c r="O627" s="6">
        <v>3477</v>
      </c>
      <c r="P627">
        <v>4077</v>
      </c>
      <c r="Q627" t="s">
        <v>32</v>
      </c>
    </row>
    <row r="628" spans="1:17" ht="13.95" customHeight="1" outlineLevel="3" x14ac:dyDescent="0.25">
      <c r="A628" t="s">
        <v>7</v>
      </c>
      <c r="B628" s="2">
        <v>36812</v>
      </c>
      <c r="C628" s="2">
        <v>36812</v>
      </c>
      <c r="D628" s="2">
        <v>36812</v>
      </c>
      <c r="E628" s="2"/>
      <c r="F628" t="s">
        <v>2</v>
      </c>
      <c r="G628" s="3">
        <v>0</v>
      </c>
      <c r="H628" s="4">
        <v>-1913.94</v>
      </c>
      <c r="I628" t="s">
        <v>3</v>
      </c>
      <c r="J628" s="6">
        <v>1600000336</v>
      </c>
      <c r="K628" t="s">
        <v>0</v>
      </c>
      <c r="L628" s="3">
        <v>7242</v>
      </c>
      <c r="M628" s="3">
        <v>7242</v>
      </c>
      <c r="N628" s="6">
        <v>140000</v>
      </c>
      <c r="O628" s="6">
        <v>3477</v>
      </c>
      <c r="P628">
        <v>4096</v>
      </c>
      <c r="Q628" t="s">
        <v>32</v>
      </c>
    </row>
    <row r="629" spans="1:17" ht="13.95" customHeight="1" outlineLevel="3" x14ac:dyDescent="0.25">
      <c r="A629" t="s">
        <v>7</v>
      </c>
      <c r="B629" s="2">
        <v>36812</v>
      </c>
      <c r="C629" s="2">
        <v>36812</v>
      </c>
      <c r="D629" s="2">
        <v>36812</v>
      </c>
      <c r="E629" s="2"/>
      <c r="F629" t="s">
        <v>2</v>
      </c>
      <c r="G629" s="3">
        <v>0</v>
      </c>
      <c r="H629" s="4">
        <v>1935.17</v>
      </c>
      <c r="I629" t="s">
        <v>3</v>
      </c>
      <c r="J629" s="6">
        <v>1600000345</v>
      </c>
      <c r="K629" t="s">
        <v>0</v>
      </c>
      <c r="L629" s="3">
        <v>7242</v>
      </c>
      <c r="M629" s="3">
        <v>7242</v>
      </c>
      <c r="N629" s="6">
        <v>140000</v>
      </c>
      <c r="O629" s="6">
        <v>3477</v>
      </c>
      <c r="P629">
        <v>4096</v>
      </c>
      <c r="Q629" t="s">
        <v>32</v>
      </c>
    </row>
    <row r="630" spans="1:17" ht="13.95" customHeight="1" outlineLevel="3" x14ac:dyDescent="0.25">
      <c r="A630" t="s">
        <v>7</v>
      </c>
      <c r="B630" s="2">
        <v>36892</v>
      </c>
      <c r="C630" s="2">
        <v>36892</v>
      </c>
      <c r="D630" s="2">
        <v>36892</v>
      </c>
      <c r="E630" s="2"/>
      <c r="F630" t="s">
        <v>2</v>
      </c>
      <c r="G630" s="3">
        <v>0</v>
      </c>
      <c r="H630" s="4">
        <v>3201.6</v>
      </c>
      <c r="I630" t="s">
        <v>3</v>
      </c>
      <c r="J630" s="6">
        <v>1600000010</v>
      </c>
      <c r="K630" t="s">
        <v>0</v>
      </c>
      <c r="L630" s="3">
        <v>7162</v>
      </c>
      <c r="M630" s="3">
        <v>7162</v>
      </c>
      <c r="N630" s="6">
        <v>140000</v>
      </c>
      <c r="O630" s="6">
        <v>3477</v>
      </c>
      <c r="P630">
        <v>4016</v>
      </c>
      <c r="Q630" t="s">
        <v>32</v>
      </c>
    </row>
    <row r="631" spans="1:17" ht="13.95" customHeight="1" outlineLevel="3" x14ac:dyDescent="0.25">
      <c r="A631" t="s">
        <v>7</v>
      </c>
      <c r="B631" s="2">
        <v>36739</v>
      </c>
      <c r="C631" s="2">
        <v>36822</v>
      </c>
      <c r="D631" s="2">
        <v>36739</v>
      </c>
      <c r="E631" s="2"/>
      <c r="F631" t="s">
        <v>2</v>
      </c>
      <c r="G631" s="3">
        <v>0</v>
      </c>
      <c r="H631" s="4">
        <v>3201.6</v>
      </c>
      <c r="I631" t="s">
        <v>3</v>
      </c>
      <c r="J631" s="6">
        <v>1600000207</v>
      </c>
      <c r="K631" t="s">
        <v>0</v>
      </c>
      <c r="L631" s="3">
        <v>7315</v>
      </c>
      <c r="M631" s="3">
        <v>7315</v>
      </c>
      <c r="N631" s="6">
        <v>140000</v>
      </c>
      <c r="O631" s="6">
        <v>3477</v>
      </c>
      <c r="P631">
        <v>4169</v>
      </c>
      <c r="Q631" t="s">
        <v>32</v>
      </c>
    </row>
    <row r="632" spans="1:17" ht="13.95" customHeight="1" outlineLevel="3" x14ac:dyDescent="0.25">
      <c r="A632" t="s">
        <v>7</v>
      </c>
      <c r="B632" s="2">
        <v>36770</v>
      </c>
      <c r="C632" s="2">
        <v>36822</v>
      </c>
      <c r="D632" s="2">
        <v>36770</v>
      </c>
      <c r="E632" s="2"/>
      <c r="F632" t="s">
        <v>2</v>
      </c>
      <c r="G632" s="3">
        <v>0</v>
      </c>
      <c r="H632" s="4">
        <v>3201.6</v>
      </c>
      <c r="I632" t="s">
        <v>3</v>
      </c>
      <c r="J632" s="6">
        <v>1600000208</v>
      </c>
      <c r="K632" t="s">
        <v>0</v>
      </c>
      <c r="L632" s="3">
        <v>7284</v>
      </c>
      <c r="M632" s="3">
        <v>7284</v>
      </c>
      <c r="N632" s="6">
        <v>140000</v>
      </c>
      <c r="O632" s="6">
        <v>3477</v>
      </c>
      <c r="P632">
        <v>4138</v>
      </c>
      <c r="Q632" t="s">
        <v>32</v>
      </c>
    </row>
    <row r="633" spans="1:17" ht="13.95" customHeight="1" outlineLevel="3" x14ac:dyDescent="0.25">
      <c r="A633" t="s">
        <v>1</v>
      </c>
      <c r="B633" s="2">
        <v>37546</v>
      </c>
      <c r="C633" s="2">
        <v>37546</v>
      </c>
      <c r="D633" s="2">
        <v>37546</v>
      </c>
      <c r="E633" s="2"/>
      <c r="F633" t="s">
        <v>2</v>
      </c>
      <c r="G633" s="3">
        <v>0</v>
      </c>
      <c r="H633" s="4">
        <v>16240</v>
      </c>
      <c r="I633" t="s">
        <v>3</v>
      </c>
      <c r="J633" s="6">
        <v>100004392</v>
      </c>
      <c r="K633" t="s">
        <v>0</v>
      </c>
      <c r="L633" s="3">
        <v>6508</v>
      </c>
      <c r="M633" s="3">
        <v>6508</v>
      </c>
      <c r="N633" s="6">
        <v>140000</v>
      </c>
      <c r="O633" s="6">
        <v>4999</v>
      </c>
      <c r="P633">
        <v>3362</v>
      </c>
      <c r="Q633" t="s">
        <v>32</v>
      </c>
    </row>
    <row r="634" spans="1:17" ht="13.95" customHeight="1" outlineLevel="3" x14ac:dyDescent="0.25">
      <c r="A634" t="s">
        <v>5</v>
      </c>
      <c r="B634" s="2">
        <v>38737</v>
      </c>
      <c r="C634" s="2">
        <v>38737</v>
      </c>
      <c r="D634" s="2">
        <v>38666</v>
      </c>
      <c r="E634" s="2"/>
      <c r="F634" t="s">
        <v>2</v>
      </c>
      <c r="G634" s="3">
        <v>0</v>
      </c>
      <c r="H634" s="4">
        <v>100</v>
      </c>
      <c r="I634" t="s">
        <v>3</v>
      </c>
      <c r="J634" s="6">
        <v>1400000003</v>
      </c>
      <c r="K634" t="s">
        <v>0</v>
      </c>
      <c r="L634" s="3">
        <v>5388</v>
      </c>
      <c r="M634" s="3">
        <v>5388</v>
      </c>
      <c r="N634" s="6">
        <v>140000</v>
      </c>
      <c r="O634" s="6">
        <v>8886</v>
      </c>
      <c r="P634">
        <v>-76</v>
      </c>
      <c r="Q634" t="s">
        <v>28</v>
      </c>
    </row>
    <row r="635" spans="1:17" ht="13.95" customHeight="1" outlineLevel="3" x14ac:dyDescent="0.25">
      <c r="A635" t="s">
        <v>1</v>
      </c>
      <c r="B635" s="2">
        <v>37491</v>
      </c>
      <c r="C635" s="2">
        <v>37491</v>
      </c>
      <c r="D635" s="2">
        <v>37536</v>
      </c>
      <c r="E635" s="2"/>
      <c r="F635" t="s">
        <v>2</v>
      </c>
      <c r="G635" s="3">
        <v>45</v>
      </c>
      <c r="H635" s="4">
        <v>8006.78</v>
      </c>
      <c r="I635" t="s">
        <v>3</v>
      </c>
      <c r="J635" s="6">
        <v>100003807</v>
      </c>
      <c r="K635" t="s">
        <v>0</v>
      </c>
      <c r="L635" s="3">
        <v>6549</v>
      </c>
      <c r="M635" s="3">
        <v>6518</v>
      </c>
      <c r="N635" s="6">
        <v>140000</v>
      </c>
      <c r="O635" s="6">
        <v>8888</v>
      </c>
      <c r="P635">
        <v>3372</v>
      </c>
      <c r="Q635" t="s">
        <v>32</v>
      </c>
    </row>
    <row r="636" spans="1:17" ht="13.95" customHeight="1" outlineLevel="3" x14ac:dyDescent="0.25">
      <c r="A636" t="s">
        <v>5</v>
      </c>
      <c r="B636" s="2">
        <v>37488</v>
      </c>
      <c r="C636" s="2">
        <v>37491</v>
      </c>
      <c r="D636" s="2">
        <v>37488</v>
      </c>
      <c r="E636" s="2"/>
      <c r="F636" t="s">
        <v>2</v>
      </c>
      <c r="G636" s="3">
        <v>0</v>
      </c>
      <c r="H636" s="4">
        <v>-1100</v>
      </c>
      <c r="I636" t="s">
        <v>3</v>
      </c>
      <c r="J636" s="6">
        <v>1400000806</v>
      </c>
      <c r="K636" t="s">
        <v>0</v>
      </c>
      <c r="L636" s="3">
        <v>6566</v>
      </c>
      <c r="M636" s="3">
        <v>6566</v>
      </c>
      <c r="N636" s="6">
        <v>140000</v>
      </c>
      <c r="O636" s="6">
        <v>8888</v>
      </c>
      <c r="P636">
        <v>3420</v>
      </c>
      <c r="Q636" t="s">
        <v>32</v>
      </c>
    </row>
    <row r="637" spans="1:17" ht="13.95" customHeight="1" outlineLevel="3" x14ac:dyDescent="0.25">
      <c r="A637" t="s">
        <v>9</v>
      </c>
      <c r="B637" s="2">
        <v>37491</v>
      </c>
      <c r="C637" s="2">
        <v>37491</v>
      </c>
      <c r="D637" s="2">
        <v>37491</v>
      </c>
      <c r="E637" s="2"/>
      <c r="F637" t="s">
        <v>2</v>
      </c>
      <c r="G637" s="3">
        <v>0</v>
      </c>
      <c r="H637" s="4">
        <v>-50</v>
      </c>
      <c r="I637" t="s">
        <v>3</v>
      </c>
      <c r="J637" s="6">
        <v>1600000206</v>
      </c>
      <c r="K637" t="s">
        <v>0</v>
      </c>
      <c r="L637" s="3">
        <v>6563</v>
      </c>
      <c r="M637" s="3">
        <v>6563</v>
      </c>
      <c r="N637" s="6">
        <v>140000</v>
      </c>
      <c r="O637" s="6">
        <v>8888</v>
      </c>
      <c r="P637">
        <v>3417</v>
      </c>
      <c r="Q637" t="s">
        <v>32</v>
      </c>
    </row>
    <row r="638" spans="1:17" ht="13.95" customHeight="1" outlineLevel="3" x14ac:dyDescent="0.25">
      <c r="A638" t="s">
        <v>1</v>
      </c>
      <c r="B638" s="2">
        <v>39415</v>
      </c>
      <c r="C638" s="2">
        <v>39415</v>
      </c>
      <c r="D638" s="2">
        <v>39460</v>
      </c>
      <c r="E638" s="2"/>
      <c r="F638" t="s">
        <v>2</v>
      </c>
      <c r="G638" s="3">
        <v>45</v>
      </c>
      <c r="H638" s="4">
        <v>12495</v>
      </c>
      <c r="I638" t="s">
        <v>3</v>
      </c>
      <c r="J638" s="6">
        <v>1400000202</v>
      </c>
      <c r="K638" t="s">
        <v>0</v>
      </c>
      <c r="L638" s="3">
        <v>4625</v>
      </c>
      <c r="M638" s="3">
        <v>4594</v>
      </c>
      <c r="N638" s="6">
        <v>140000</v>
      </c>
      <c r="O638" s="6">
        <v>8888</v>
      </c>
      <c r="P638">
        <v>1448</v>
      </c>
      <c r="Q638" t="s">
        <v>32</v>
      </c>
    </row>
    <row r="639" spans="1:17" ht="13.95" customHeight="1" outlineLevel="3" x14ac:dyDescent="0.25">
      <c r="A639" t="s">
        <v>6</v>
      </c>
      <c r="B639" s="2">
        <v>39415</v>
      </c>
      <c r="C639" s="2">
        <v>39415</v>
      </c>
      <c r="D639" s="2">
        <v>39415</v>
      </c>
      <c r="E639" s="2"/>
      <c r="F639" t="s">
        <v>2</v>
      </c>
      <c r="G639" s="3">
        <v>0</v>
      </c>
      <c r="H639" s="4">
        <v>1950</v>
      </c>
      <c r="I639" t="s">
        <v>3</v>
      </c>
      <c r="J639" s="6">
        <v>1800000000</v>
      </c>
      <c r="K639" t="s">
        <v>0</v>
      </c>
      <c r="L639" s="3">
        <v>4639</v>
      </c>
      <c r="M639" s="3">
        <v>4639</v>
      </c>
      <c r="N639" s="6">
        <v>140000</v>
      </c>
      <c r="O639" s="6">
        <v>8888</v>
      </c>
      <c r="P639">
        <v>1493</v>
      </c>
      <c r="Q639" t="s">
        <v>32</v>
      </c>
    </row>
    <row r="640" spans="1:17" ht="13.95" customHeight="1" outlineLevel="3" x14ac:dyDescent="0.25">
      <c r="A640" t="s">
        <v>6</v>
      </c>
      <c r="B640" s="2">
        <v>39415</v>
      </c>
      <c r="C640" s="2">
        <v>39415</v>
      </c>
      <c r="D640" s="2">
        <v>39415</v>
      </c>
      <c r="E640" s="2"/>
      <c r="F640" t="s">
        <v>2</v>
      </c>
      <c r="G640" s="3">
        <v>0</v>
      </c>
      <c r="H640" s="4">
        <v>7777</v>
      </c>
      <c r="I640" t="s">
        <v>3</v>
      </c>
      <c r="J640" s="6">
        <v>1800000001</v>
      </c>
      <c r="K640" t="s">
        <v>0</v>
      </c>
      <c r="L640" s="3">
        <v>4639</v>
      </c>
      <c r="M640" s="3">
        <v>4639</v>
      </c>
      <c r="N640" s="6">
        <v>140000</v>
      </c>
      <c r="O640" s="6">
        <v>8888</v>
      </c>
      <c r="P640">
        <v>1493</v>
      </c>
      <c r="Q640" t="s">
        <v>32</v>
      </c>
    </row>
    <row r="641" spans="1:17" ht="13.95" customHeight="1" outlineLevel="3" x14ac:dyDescent="0.25">
      <c r="A641" t="s">
        <v>1</v>
      </c>
      <c r="B641" s="2">
        <v>38735</v>
      </c>
      <c r="C641" s="2">
        <v>38735</v>
      </c>
      <c r="D641" s="2">
        <v>38780</v>
      </c>
      <c r="E641" s="2"/>
      <c r="F641" t="s">
        <v>2</v>
      </c>
      <c r="G641" s="3">
        <v>45</v>
      </c>
      <c r="H641" s="4">
        <v>625</v>
      </c>
      <c r="I641" t="s">
        <v>3</v>
      </c>
      <c r="J641" s="6">
        <v>1400000080</v>
      </c>
      <c r="K641" t="s">
        <v>0</v>
      </c>
      <c r="L641" s="3">
        <v>5305</v>
      </c>
      <c r="M641" s="3">
        <v>5274</v>
      </c>
      <c r="N641" s="6">
        <v>141000</v>
      </c>
      <c r="O641" s="6">
        <v>10004</v>
      </c>
      <c r="P641">
        <v>-286</v>
      </c>
      <c r="Q641" t="s">
        <v>28</v>
      </c>
    </row>
    <row r="642" spans="1:17" ht="13.95" customHeight="1" outlineLevel="3" x14ac:dyDescent="0.25">
      <c r="A642" t="s">
        <v>1</v>
      </c>
      <c r="B642" s="2">
        <v>39856</v>
      </c>
      <c r="C642" s="2">
        <v>39856</v>
      </c>
      <c r="D642" s="2">
        <v>39901</v>
      </c>
      <c r="E642" s="2"/>
      <c r="F642" t="s">
        <v>2</v>
      </c>
      <c r="G642" s="3">
        <v>45</v>
      </c>
      <c r="H642" s="4">
        <v>2500</v>
      </c>
      <c r="I642" t="s">
        <v>3</v>
      </c>
      <c r="J642" s="6">
        <v>1400000188</v>
      </c>
      <c r="K642" t="s">
        <v>0</v>
      </c>
      <c r="L642" s="3">
        <v>4184</v>
      </c>
      <c r="M642" s="3">
        <v>4153</v>
      </c>
      <c r="N642" s="6">
        <v>141000</v>
      </c>
      <c r="O642" s="6">
        <v>10004</v>
      </c>
      <c r="P642">
        <v>1007</v>
      </c>
      <c r="Q642" t="s">
        <v>32</v>
      </c>
    </row>
    <row r="643" spans="1:17" ht="13.95" customHeight="1" outlineLevel="3" x14ac:dyDescent="0.25">
      <c r="A643" t="s">
        <v>1</v>
      </c>
      <c r="B643" s="2">
        <v>42242</v>
      </c>
      <c r="C643" s="2">
        <v>42242</v>
      </c>
      <c r="D643" s="2">
        <v>42287</v>
      </c>
      <c r="E643" s="2"/>
      <c r="F643" t="s">
        <v>2</v>
      </c>
      <c r="G643" s="3">
        <v>45</v>
      </c>
      <c r="H643" s="4">
        <v>2500</v>
      </c>
      <c r="I643" t="s">
        <v>3</v>
      </c>
      <c r="J643" s="6">
        <v>1400000059</v>
      </c>
      <c r="K643" t="s">
        <v>0</v>
      </c>
      <c r="L643" s="3">
        <v>1798</v>
      </c>
      <c r="M643" s="3">
        <v>1767</v>
      </c>
      <c r="N643" s="6">
        <v>141000</v>
      </c>
      <c r="O643" s="6">
        <v>10004</v>
      </c>
      <c r="P643">
        <v>108</v>
      </c>
      <c r="Q643" t="s">
        <v>30</v>
      </c>
    </row>
    <row r="644" spans="1:17" ht="13.95" customHeight="1" outlineLevel="3" x14ac:dyDescent="0.25">
      <c r="A644" t="s">
        <v>1</v>
      </c>
      <c r="B644" s="2">
        <v>42242</v>
      </c>
      <c r="C644" s="2">
        <v>42242</v>
      </c>
      <c r="D644" s="2">
        <v>42287</v>
      </c>
      <c r="E644" s="2"/>
      <c r="F644" t="s">
        <v>2</v>
      </c>
      <c r="G644" s="3">
        <v>45</v>
      </c>
      <c r="H644" s="4">
        <v>250</v>
      </c>
      <c r="I644" t="s">
        <v>3</v>
      </c>
      <c r="J644" s="6">
        <v>1400000060</v>
      </c>
      <c r="K644" t="s">
        <v>0</v>
      </c>
      <c r="L644" s="3">
        <v>1798</v>
      </c>
      <c r="M644" s="3">
        <v>1767</v>
      </c>
      <c r="N644" s="6">
        <v>141000</v>
      </c>
      <c r="O644" s="6">
        <v>10004</v>
      </c>
      <c r="P644">
        <v>108</v>
      </c>
      <c r="Q644" t="s">
        <v>30</v>
      </c>
    </row>
    <row r="645" spans="1:17" ht="13.95" customHeight="1" outlineLevel="3" x14ac:dyDescent="0.25">
      <c r="A645" t="s">
        <v>1</v>
      </c>
      <c r="B645" s="2">
        <v>42242</v>
      </c>
      <c r="C645" s="2">
        <v>42242</v>
      </c>
      <c r="D645" s="2">
        <v>42287</v>
      </c>
      <c r="E645" s="2"/>
      <c r="F645" t="s">
        <v>2</v>
      </c>
      <c r="G645" s="3">
        <v>45</v>
      </c>
      <c r="H645" s="4">
        <v>250</v>
      </c>
      <c r="I645" t="s">
        <v>3</v>
      </c>
      <c r="J645" s="6">
        <v>1400000061</v>
      </c>
      <c r="K645" t="s">
        <v>0</v>
      </c>
      <c r="L645" s="3">
        <v>1798</v>
      </c>
      <c r="M645" s="3">
        <v>1767</v>
      </c>
      <c r="N645" s="6">
        <v>141000</v>
      </c>
      <c r="O645" s="6">
        <v>10004</v>
      </c>
      <c r="P645">
        <v>108</v>
      </c>
      <c r="Q645" t="s">
        <v>30</v>
      </c>
    </row>
    <row r="646" spans="1:17" ht="13.95" customHeight="1" outlineLevel="3" x14ac:dyDescent="0.25">
      <c r="A646" t="s">
        <v>1</v>
      </c>
      <c r="B646" s="2">
        <v>42247</v>
      </c>
      <c r="C646" s="2">
        <v>42247</v>
      </c>
      <c r="D646" s="2">
        <v>42292</v>
      </c>
      <c r="E646" s="2"/>
      <c r="F646" t="s">
        <v>2</v>
      </c>
      <c r="G646" s="3">
        <v>45</v>
      </c>
      <c r="H646" s="4">
        <v>2500</v>
      </c>
      <c r="I646" t="s">
        <v>3</v>
      </c>
      <c r="J646" s="6">
        <v>1400000062</v>
      </c>
      <c r="K646" t="s">
        <v>0</v>
      </c>
      <c r="L646" s="3">
        <v>1793</v>
      </c>
      <c r="M646" s="3">
        <v>1762</v>
      </c>
      <c r="N646" s="6">
        <v>141000</v>
      </c>
      <c r="O646" s="6">
        <v>10004</v>
      </c>
      <c r="P646">
        <v>108</v>
      </c>
      <c r="Q646" t="s">
        <v>30</v>
      </c>
    </row>
    <row r="647" spans="1:17" ht="13.95" customHeight="1" outlineLevel="3" x14ac:dyDescent="0.25">
      <c r="A647" t="s">
        <v>1</v>
      </c>
      <c r="B647" s="2">
        <v>39282</v>
      </c>
      <c r="C647" s="2">
        <v>39282</v>
      </c>
      <c r="D647" s="2">
        <v>39327</v>
      </c>
      <c r="E647" s="2"/>
      <c r="F647" t="s">
        <v>2</v>
      </c>
      <c r="G647" s="3">
        <v>45</v>
      </c>
      <c r="H647" s="4">
        <v>595000</v>
      </c>
      <c r="I647" t="s">
        <v>3</v>
      </c>
      <c r="J647" s="6">
        <v>1400000114</v>
      </c>
      <c r="K647" t="s">
        <v>0</v>
      </c>
      <c r="L647" s="3">
        <v>4758</v>
      </c>
      <c r="M647" s="3">
        <v>4727</v>
      </c>
      <c r="N647" s="6">
        <v>141000</v>
      </c>
      <c r="O647" s="6">
        <v>10005</v>
      </c>
      <c r="P647">
        <v>-406</v>
      </c>
      <c r="Q647" t="s">
        <v>28</v>
      </c>
    </row>
    <row r="648" spans="1:17" ht="13.95" customHeight="1" outlineLevel="3" x14ac:dyDescent="0.25">
      <c r="A648" t="s">
        <v>1</v>
      </c>
      <c r="B648" s="2">
        <v>39303</v>
      </c>
      <c r="C648" s="2">
        <v>39303</v>
      </c>
      <c r="D648" s="2">
        <v>39348</v>
      </c>
      <c r="E648" s="2"/>
      <c r="F648" t="s">
        <v>2</v>
      </c>
      <c r="G648" s="3">
        <v>45</v>
      </c>
      <c r="H648" s="4">
        <v>476000</v>
      </c>
      <c r="I648" t="s">
        <v>3</v>
      </c>
      <c r="J648" s="6">
        <v>1400000134</v>
      </c>
      <c r="K648" t="s">
        <v>0</v>
      </c>
      <c r="L648" s="3">
        <v>4737</v>
      </c>
      <c r="M648" s="3">
        <v>4706</v>
      </c>
      <c r="N648" s="6">
        <v>141000</v>
      </c>
      <c r="O648" s="6">
        <v>10005</v>
      </c>
      <c r="P648">
        <v>473</v>
      </c>
      <c r="Q648" t="s">
        <v>32</v>
      </c>
    </row>
    <row r="649" spans="1:17" ht="13.95" customHeight="1" outlineLevel="3" x14ac:dyDescent="0.25">
      <c r="A649" t="s">
        <v>1</v>
      </c>
      <c r="B649" s="2">
        <v>39307</v>
      </c>
      <c r="C649" s="2">
        <v>39307</v>
      </c>
      <c r="D649" s="2">
        <v>39352</v>
      </c>
      <c r="E649" s="2"/>
      <c r="F649" t="s">
        <v>2</v>
      </c>
      <c r="G649" s="3">
        <v>45</v>
      </c>
      <c r="H649" s="4">
        <v>476000</v>
      </c>
      <c r="I649" t="s">
        <v>3</v>
      </c>
      <c r="J649" s="6">
        <v>1400000135</v>
      </c>
      <c r="K649" t="s">
        <v>0</v>
      </c>
      <c r="L649" s="3">
        <v>4733</v>
      </c>
      <c r="M649" s="3">
        <v>4702</v>
      </c>
      <c r="N649" s="6">
        <v>141000</v>
      </c>
      <c r="O649" s="6">
        <v>10005</v>
      </c>
      <c r="P649">
        <v>473</v>
      </c>
      <c r="Q649" t="s">
        <v>32</v>
      </c>
    </row>
    <row r="650" spans="1:17" ht="13.95" customHeight="1" outlineLevel="3" x14ac:dyDescent="0.25">
      <c r="A650" t="s">
        <v>1</v>
      </c>
      <c r="B650" s="2">
        <v>42825</v>
      </c>
      <c r="C650" s="2">
        <v>42825</v>
      </c>
      <c r="D650" s="2">
        <v>42825</v>
      </c>
      <c r="E650" s="2"/>
      <c r="F650" t="s">
        <v>2</v>
      </c>
      <c r="G650" s="3">
        <v>0</v>
      </c>
      <c r="H650" s="4">
        <v>500</v>
      </c>
      <c r="I650" t="s">
        <v>3</v>
      </c>
      <c r="J650" s="6">
        <v>1400000004</v>
      </c>
      <c r="K650" t="s">
        <v>0</v>
      </c>
      <c r="L650" s="3">
        <v>1229</v>
      </c>
      <c r="M650" s="3">
        <v>1229</v>
      </c>
      <c r="N650" s="6">
        <v>140000</v>
      </c>
      <c r="O650" s="6">
        <v>13000</v>
      </c>
      <c r="P650">
        <v>-76</v>
      </c>
      <c r="Q650" t="s">
        <v>28</v>
      </c>
    </row>
    <row r="651" spans="1:17" ht="13.95" customHeight="1" outlineLevel="3" x14ac:dyDescent="0.25">
      <c r="A651" t="s">
        <v>1</v>
      </c>
      <c r="B651" s="2">
        <v>42825</v>
      </c>
      <c r="C651" s="2">
        <v>42825</v>
      </c>
      <c r="D651" s="2">
        <v>42825</v>
      </c>
      <c r="E651" s="2"/>
      <c r="F651" t="s">
        <v>2</v>
      </c>
      <c r="G651" s="3">
        <v>0</v>
      </c>
      <c r="H651" s="4">
        <v>595</v>
      </c>
      <c r="I651" t="s">
        <v>3</v>
      </c>
      <c r="J651" s="6">
        <v>1400000005</v>
      </c>
      <c r="K651" t="s">
        <v>0</v>
      </c>
      <c r="L651" s="3">
        <v>1229</v>
      </c>
      <c r="M651" s="3">
        <v>1229</v>
      </c>
      <c r="N651" s="6">
        <v>140000</v>
      </c>
      <c r="O651" s="6">
        <v>13000</v>
      </c>
      <c r="P651">
        <v>-76</v>
      </c>
      <c r="Q651" t="s">
        <v>28</v>
      </c>
    </row>
    <row r="652" spans="1:17" ht="13.95" customHeight="1" outlineLevel="3" x14ac:dyDescent="0.25">
      <c r="A652" t="s">
        <v>1</v>
      </c>
      <c r="B652" s="2">
        <v>42831</v>
      </c>
      <c r="C652" s="2">
        <v>42831</v>
      </c>
      <c r="D652" s="2">
        <v>42831</v>
      </c>
      <c r="E652" s="2"/>
      <c r="F652" t="s">
        <v>2</v>
      </c>
      <c r="G652" s="3">
        <v>0</v>
      </c>
      <c r="H652" s="4">
        <v>500</v>
      </c>
      <c r="I652" t="s">
        <v>3</v>
      </c>
      <c r="J652" s="6">
        <v>1400000006</v>
      </c>
      <c r="K652" t="s">
        <v>0</v>
      </c>
      <c r="L652" s="3">
        <v>1223</v>
      </c>
      <c r="M652" s="3">
        <v>1223</v>
      </c>
      <c r="N652" s="6">
        <v>140000</v>
      </c>
      <c r="O652" s="6">
        <v>13000</v>
      </c>
      <c r="P652">
        <v>-76</v>
      </c>
      <c r="Q652" t="s">
        <v>28</v>
      </c>
    </row>
    <row r="653" spans="1:17" ht="13.95" customHeight="1" outlineLevel="3" x14ac:dyDescent="0.25">
      <c r="A653" t="s">
        <v>1</v>
      </c>
      <c r="B653" s="2">
        <v>42835</v>
      </c>
      <c r="C653" s="2">
        <v>42835</v>
      </c>
      <c r="D653" s="2">
        <v>42835</v>
      </c>
      <c r="E653" s="2"/>
      <c r="F653" t="s">
        <v>2</v>
      </c>
      <c r="G653" s="3">
        <v>0</v>
      </c>
      <c r="H653" s="4">
        <v>500</v>
      </c>
      <c r="I653" t="s">
        <v>3</v>
      </c>
      <c r="J653" s="6">
        <v>1400000007</v>
      </c>
      <c r="K653" t="s">
        <v>0</v>
      </c>
      <c r="L653" s="3">
        <v>1219</v>
      </c>
      <c r="M653" s="3">
        <v>1219</v>
      </c>
      <c r="N653" s="6">
        <v>140000</v>
      </c>
      <c r="O653" s="6">
        <v>13004</v>
      </c>
      <c r="P653">
        <v>-76</v>
      </c>
      <c r="Q653" t="s">
        <v>28</v>
      </c>
    </row>
    <row r="654" spans="1:17" ht="13.95" customHeight="1" outlineLevel="3" x14ac:dyDescent="0.25">
      <c r="A654" t="s">
        <v>1</v>
      </c>
      <c r="B654" s="2">
        <v>42844</v>
      </c>
      <c r="C654" s="2">
        <v>42844</v>
      </c>
      <c r="D654" s="2">
        <v>42844</v>
      </c>
      <c r="E654" s="2"/>
      <c r="F654" t="s">
        <v>2</v>
      </c>
      <c r="G654" s="3">
        <v>0</v>
      </c>
      <c r="H654" s="4">
        <v>500</v>
      </c>
      <c r="I654" t="s">
        <v>3</v>
      </c>
      <c r="J654" s="6">
        <v>1400000008</v>
      </c>
      <c r="K654" t="s">
        <v>0</v>
      </c>
      <c r="L654" s="3">
        <v>1210</v>
      </c>
      <c r="M654" s="3">
        <v>1210</v>
      </c>
      <c r="N654" s="6">
        <v>140000</v>
      </c>
      <c r="O654" s="6">
        <v>13007</v>
      </c>
      <c r="P654">
        <v>-76</v>
      </c>
      <c r="Q654" t="s">
        <v>28</v>
      </c>
    </row>
    <row r="655" spans="1:17" ht="13.95" customHeight="1" outlineLevel="3" x14ac:dyDescent="0.25">
      <c r="A655" t="s">
        <v>1</v>
      </c>
      <c r="B655" s="2">
        <v>42844</v>
      </c>
      <c r="C655" s="2">
        <v>42844</v>
      </c>
      <c r="D655" s="2">
        <v>42844</v>
      </c>
      <c r="E655" s="2"/>
      <c r="F655" t="s">
        <v>2</v>
      </c>
      <c r="G655" s="3">
        <v>0</v>
      </c>
      <c r="H655" s="4">
        <v>595</v>
      </c>
      <c r="I655" t="s">
        <v>3</v>
      </c>
      <c r="J655" s="6">
        <v>1400000009</v>
      </c>
      <c r="K655" t="s">
        <v>0</v>
      </c>
      <c r="L655" s="3">
        <v>1210</v>
      </c>
      <c r="M655" s="3">
        <v>1210</v>
      </c>
      <c r="N655" s="6">
        <v>140000</v>
      </c>
      <c r="O655" s="6">
        <v>13007</v>
      </c>
      <c r="P655">
        <v>-103</v>
      </c>
      <c r="Q655" t="s">
        <v>28</v>
      </c>
    </row>
  </sheetData>
  <autoFilter ref="A1:Q655" xr:uid="{498902E8-CC7B-411E-844E-CA511B064408}"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272F1-04F2-4655-89AA-4753F6872ADB}">
  <sheetPr>
    <tabColor rgb="FFC00000"/>
  </sheetPr>
  <dimension ref="A1:D1341"/>
  <sheetViews>
    <sheetView topLeftCell="A1260" workbookViewId="0">
      <selection activeCell="C1339" sqref="C1339"/>
    </sheetView>
  </sheetViews>
  <sheetFormatPr defaultRowHeight="13.2" x14ac:dyDescent="0.25"/>
  <cols>
    <col min="1" max="1" width="7" style="10" bestFit="1" customWidth="1"/>
    <col min="2" max="2" width="5" style="10" bestFit="1" customWidth="1"/>
    <col min="3" max="3" width="37" style="10" bestFit="1" customWidth="1"/>
    <col min="4" max="4" width="12" style="10" bestFit="1" customWidth="1"/>
    <col min="5" max="16384" width="8.88671875" style="10"/>
  </cols>
  <sheetData>
    <row r="1" spans="1:4" x14ac:dyDescent="0.25">
      <c r="A1" s="9" t="s">
        <v>33</v>
      </c>
      <c r="B1" s="9" t="s">
        <v>34</v>
      </c>
      <c r="C1" s="9" t="s">
        <v>35</v>
      </c>
      <c r="D1" s="9" t="s">
        <v>36</v>
      </c>
    </row>
    <row r="2" spans="1:4" x14ac:dyDescent="0.25">
      <c r="A2" s="11">
        <v>1001</v>
      </c>
      <c r="B2" s="10" t="s">
        <v>37</v>
      </c>
      <c r="C2" s="10" t="s">
        <v>38</v>
      </c>
      <c r="D2" s="10" t="s">
        <v>39</v>
      </c>
    </row>
    <row r="3" spans="1:4" x14ac:dyDescent="0.25">
      <c r="A3" s="11">
        <v>1001</v>
      </c>
      <c r="B3" s="10" t="s">
        <v>37</v>
      </c>
      <c r="C3" s="10" t="s">
        <v>38</v>
      </c>
      <c r="D3" s="10" t="s">
        <v>39</v>
      </c>
    </row>
    <row r="4" spans="1:4" x14ac:dyDescent="0.25">
      <c r="A4" s="11">
        <v>1002</v>
      </c>
      <c r="B4" s="10" t="s">
        <v>37</v>
      </c>
      <c r="C4" s="10" t="s">
        <v>40</v>
      </c>
      <c r="D4" s="10" t="s">
        <v>41</v>
      </c>
    </row>
    <row r="5" spans="1:4" x14ac:dyDescent="0.25">
      <c r="A5" s="11">
        <v>1002</v>
      </c>
      <c r="B5" s="10" t="s">
        <v>37</v>
      </c>
      <c r="C5" s="10" t="s">
        <v>40</v>
      </c>
      <c r="D5" s="10" t="s">
        <v>41</v>
      </c>
    </row>
    <row r="6" spans="1:4" x14ac:dyDescent="0.25">
      <c r="A6" s="11">
        <v>1032</v>
      </c>
      <c r="B6" s="10" t="s">
        <v>37</v>
      </c>
      <c r="C6" s="10" t="s">
        <v>42</v>
      </c>
      <c r="D6" s="10" t="s">
        <v>43</v>
      </c>
    </row>
    <row r="7" spans="1:4" x14ac:dyDescent="0.25">
      <c r="A7" s="11">
        <v>1032</v>
      </c>
      <c r="B7" s="10" t="s">
        <v>37</v>
      </c>
      <c r="C7" s="10" t="s">
        <v>42</v>
      </c>
      <c r="D7" s="10" t="s">
        <v>43</v>
      </c>
    </row>
    <row r="8" spans="1:4" x14ac:dyDescent="0.25">
      <c r="A8" s="11">
        <v>1032</v>
      </c>
      <c r="B8" s="10" t="s">
        <v>37</v>
      </c>
      <c r="C8" s="10" t="s">
        <v>42</v>
      </c>
      <c r="D8" s="10" t="s">
        <v>43</v>
      </c>
    </row>
    <row r="9" spans="1:4" x14ac:dyDescent="0.25">
      <c r="A9" s="11">
        <v>1032</v>
      </c>
      <c r="B9" s="10" t="s">
        <v>37</v>
      </c>
      <c r="C9" s="10" t="s">
        <v>42</v>
      </c>
      <c r="D9" s="10" t="s">
        <v>43</v>
      </c>
    </row>
    <row r="10" spans="1:4" x14ac:dyDescent="0.25">
      <c r="A10" s="11">
        <v>1032</v>
      </c>
      <c r="B10" s="10" t="s">
        <v>37</v>
      </c>
      <c r="C10" s="10" t="s">
        <v>42</v>
      </c>
      <c r="D10" s="10" t="s">
        <v>43</v>
      </c>
    </row>
    <row r="11" spans="1:4" x14ac:dyDescent="0.25">
      <c r="A11" s="11">
        <v>1032</v>
      </c>
      <c r="B11" s="10" t="s">
        <v>37</v>
      </c>
      <c r="C11" s="10" t="s">
        <v>42</v>
      </c>
      <c r="D11" s="10" t="s">
        <v>43</v>
      </c>
    </row>
    <row r="12" spans="1:4" x14ac:dyDescent="0.25">
      <c r="A12" s="11">
        <v>1032</v>
      </c>
      <c r="B12" s="10" t="s">
        <v>37</v>
      </c>
      <c r="C12" s="10" t="s">
        <v>42</v>
      </c>
      <c r="D12" s="10" t="s">
        <v>43</v>
      </c>
    </row>
    <row r="13" spans="1:4" x14ac:dyDescent="0.25">
      <c r="A13" s="11">
        <v>1032</v>
      </c>
      <c r="B13" s="10" t="s">
        <v>37</v>
      </c>
      <c r="C13" s="10" t="s">
        <v>42</v>
      </c>
      <c r="D13" s="10" t="s">
        <v>43</v>
      </c>
    </row>
    <row r="14" spans="1:4" x14ac:dyDescent="0.25">
      <c r="A14" s="11">
        <v>1032</v>
      </c>
      <c r="B14" s="10" t="s">
        <v>37</v>
      </c>
      <c r="C14" s="10" t="s">
        <v>42</v>
      </c>
      <c r="D14" s="10" t="s">
        <v>43</v>
      </c>
    </row>
    <row r="15" spans="1:4" x14ac:dyDescent="0.25">
      <c r="A15" s="11">
        <v>1032</v>
      </c>
      <c r="B15" s="10" t="s">
        <v>37</v>
      </c>
      <c r="C15" s="10" t="s">
        <v>42</v>
      </c>
      <c r="D15" s="10" t="s">
        <v>43</v>
      </c>
    </row>
    <row r="16" spans="1:4" x14ac:dyDescent="0.25">
      <c r="A16" s="11">
        <v>1032</v>
      </c>
      <c r="B16" s="10" t="s">
        <v>37</v>
      </c>
      <c r="C16" s="10" t="s">
        <v>42</v>
      </c>
      <c r="D16" s="10" t="s">
        <v>43</v>
      </c>
    </row>
    <row r="17" spans="1:4" x14ac:dyDescent="0.25">
      <c r="A17" s="11">
        <v>1032</v>
      </c>
      <c r="B17" s="10" t="s">
        <v>37</v>
      </c>
      <c r="C17" s="10" t="s">
        <v>42</v>
      </c>
      <c r="D17" s="10" t="s">
        <v>43</v>
      </c>
    </row>
    <row r="18" spans="1:4" x14ac:dyDescent="0.25">
      <c r="A18" s="11">
        <v>1032</v>
      </c>
      <c r="B18" s="10" t="s">
        <v>37</v>
      </c>
      <c r="C18" s="10" t="s">
        <v>42</v>
      </c>
      <c r="D18" s="10" t="s">
        <v>43</v>
      </c>
    </row>
    <row r="19" spans="1:4" x14ac:dyDescent="0.25">
      <c r="A19" s="11">
        <v>1032</v>
      </c>
      <c r="B19" s="10" t="s">
        <v>37</v>
      </c>
      <c r="C19" s="10" t="s">
        <v>42</v>
      </c>
      <c r="D19" s="10" t="s">
        <v>43</v>
      </c>
    </row>
    <row r="20" spans="1:4" x14ac:dyDescent="0.25">
      <c r="A20" s="11">
        <v>1032</v>
      </c>
      <c r="B20" s="10" t="s">
        <v>37</v>
      </c>
      <c r="C20" s="10" t="s">
        <v>42</v>
      </c>
      <c r="D20" s="10" t="s">
        <v>43</v>
      </c>
    </row>
    <row r="21" spans="1:4" x14ac:dyDescent="0.25">
      <c r="A21" s="11">
        <v>1032</v>
      </c>
      <c r="B21" s="10" t="s">
        <v>37</v>
      </c>
      <c r="C21" s="10" t="s">
        <v>42</v>
      </c>
      <c r="D21" s="10" t="s">
        <v>43</v>
      </c>
    </row>
    <row r="22" spans="1:4" x14ac:dyDescent="0.25">
      <c r="A22" s="11">
        <v>1032</v>
      </c>
      <c r="B22" s="10" t="s">
        <v>37</v>
      </c>
      <c r="C22" s="10" t="s">
        <v>42</v>
      </c>
      <c r="D22" s="10" t="s">
        <v>43</v>
      </c>
    </row>
    <row r="23" spans="1:4" x14ac:dyDescent="0.25">
      <c r="A23" s="11">
        <v>1032</v>
      </c>
      <c r="B23" s="10" t="s">
        <v>37</v>
      </c>
      <c r="C23" s="10" t="s">
        <v>42</v>
      </c>
      <c r="D23" s="10" t="s">
        <v>43</v>
      </c>
    </row>
    <row r="24" spans="1:4" x14ac:dyDescent="0.25">
      <c r="A24" s="11">
        <v>1032</v>
      </c>
      <c r="B24" s="10" t="s">
        <v>37</v>
      </c>
      <c r="C24" s="10" t="s">
        <v>42</v>
      </c>
      <c r="D24" s="10" t="s">
        <v>43</v>
      </c>
    </row>
    <row r="25" spans="1:4" x14ac:dyDescent="0.25">
      <c r="A25" s="11">
        <v>1032</v>
      </c>
      <c r="B25" s="10" t="s">
        <v>37</v>
      </c>
      <c r="C25" s="10" t="s">
        <v>42</v>
      </c>
      <c r="D25" s="10" t="s">
        <v>43</v>
      </c>
    </row>
    <row r="26" spans="1:4" x14ac:dyDescent="0.25">
      <c r="A26" s="11">
        <v>1032</v>
      </c>
      <c r="B26" s="10" t="s">
        <v>37</v>
      </c>
      <c r="C26" s="10" t="s">
        <v>42</v>
      </c>
      <c r="D26" s="10" t="s">
        <v>43</v>
      </c>
    </row>
    <row r="27" spans="1:4" x14ac:dyDescent="0.25">
      <c r="A27" s="11">
        <v>1032</v>
      </c>
      <c r="B27" s="10" t="s">
        <v>37</v>
      </c>
      <c r="C27" s="10" t="s">
        <v>42</v>
      </c>
      <c r="D27" s="10" t="s">
        <v>43</v>
      </c>
    </row>
    <row r="28" spans="1:4" x14ac:dyDescent="0.25">
      <c r="A28" s="11">
        <v>1032</v>
      </c>
      <c r="B28" s="10" t="s">
        <v>37</v>
      </c>
      <c r="C28" s="10" t="s">
        <v>42</v>
      </c>
      <c r="D28" s="10" t="s">
        <v>43</v>
      </c>
    </row>
    <row r="29" spans="1:4" x14ac:dyDescent="0.25">
      <c r="A29" s="11">
        <v>1032</v>
      </c>
      <c r="B29" s="10" t="s">
        <v>37</v>
      </c>
      <c r="C29" s="10" t="s">
        <v>42</v>
      </c>
      <c r="D29" s="10" t="s">
        <v>43</v>
      </c>
    </row>
    <row r="30" spans="1:4" x14ac:dyDescent="0.25">
      <c r="A30" s="11">
        <v>1032</v>
      </c>
      <c r="B30" s="10" t="s">
        <v>37</v>
      </c>
      <c r="C30" s="10" t="s">
        <v>42</v>
      </c>
      <c r="D30" s="10" t="s">
        <v>43</v>
      </c>
    </row>
    <row r="31" spans="1:4" x14ac:dyDescent="0.25">
      <c r="A31" s="11">
        <v>1032</v>
      </c>
      <c r="B31" s="10" t="s">
        <v>37</v>
      </c>
      <c r="C31" s="10" t="s">
        <v>42</v>
      </c>
      <c r="D31" s="10" t="s">
        <v>43</v>
      </c>
    </row>
    <row r="32" spans="1:4" x14ac:dyDescent="0.25">
      <c r="A32" s="11">
        <v>1032</v>
      </c>
      <c r="B32" s="10" t="s">
        <v>37</v>
      </c>
      <c r="C32" s="10" t="s">
        <v>42</v>
      </c>
      <c r="D32" s="10" t="s">
        <v>43</v>
      </c>
    </row>
    <row r="33" spans="1:4" x14ac:dyDescent="0.25">
      <c r="A33" s="11">
        <v>1032</v>
      </c>
      <c r="B33" s="10" t="s">
        <v>37</v>
      </c>
      <c r="C33" s="10" t="s">
        <v>42</v>
      </c>
      <c r="D33" s="10" t="s">
        <v>43</v>
      </c>
    </row>
    <row r="34" spans="1:4" x14ac:dyDescent="0.25">
      <c r="A34" s="11">
        <v>1032</v>
      </c>
      <c r="B34" s="10" t="s">
        <v>37</v>
      </c>
      <c r="C34" s="10" t="s">
        <v>42</v>
      </c>
      <c r="D34" s="10" t="s">
        <v>43</v>
      </c>
    </row>
    <row r="35" spans="1:4" x14ac:dyDescent="0.25">
      <c r="A35" s="11">
        <v>1032</v>
      </c>
      <c r="B35" s="10" t="s">
        <v>37</v>
      </c>
      <c r="C35" s="10" t="s">
        <v>42</v>
      </c>
      <c r="D35" s="10" t="s">
        <v>43</v>
      </c>
    </row>
    <row r="36" spans="1:4" x14ac:dyDescent="0.25">
      <c r="A36" s="11">
        <v>1032</v>
      </c>
      <c r="B36" s="10" t="s">
        <v>37</v>
      </c>
      <c r="C36" s="10" t="s">
        <v>42</v>
      </c>
      <c r="D36" s="10" t="s">
        <v>43</v>
      </c>
    </row>
    <row r="37" spans="1:4" x14ac:dyDescent="0.25">
      <c r="A37" s="11">
        <v>1032</v>
      </c>
      <c r="B37" s="10" t="s">
        <v>37</v>
      </c>
      <c r="C37" s="10" t="s">
        <v>42</v>
      </c>
      <c r="D37" s="10" t="s">
        <v>43</v>
      </c>
    </row>
    <row r="38" spans="1:4" x14ac:dyDescent="0.25">
      <c r="A38" s="11">
        <v>1032</v>
      </c>
      <c r="B38" s="10" t="s">
        <v>37</v>
      </c>
      <c r="C38" s="10" t="s">
        <v>42</v>
      </c>
      <c r="D38" s="10" t="s">
        <v>43</v>
      </c>
    </row>
    <row r="39" spans="1:4" x14ac:dyDescent="0.25">
      <c r="A39" s="11">
        <v>1032</v>
      </c>
      <c r="B39" s="10" t="s">
        <v>37</v>
      </c>
      <c r="C39" s="10" t="s">
        <v>42</v>
      </c>
      <c r="D39" s="10" t="s">
        <v>43</v>
      </c>
    </row>
    <row r="40" spans="1:4" x14ac:dyDescent="0.25">
      <c r="A40" s="11">
        <v>1032</v>
      </c>
      <c r="B40" s="10" t="s">
        <v>37</v>
      </c>
      <c r="C40" s="10" t="s">
        <v>42</v>
      </c>
      <c r="D40" s="10" t="s">
        <v>43</v>
      </c>
    </row>
    <row r="41" spans="1:4" x14ac:dyDescent="0.25">
      <c r="A41" s="11">
        <v>1032</v>
      </c>
      <c r="B41" s="10" t="s">
        <v>37</v>
      </c>
      <c r="C41" s="10" t="s">
        <v>42</v>
      </c>
      <c r="D41" s="10" t="s">
        <v>43</v>
      </c>
    </row>
    <row r="42" spans="1:4" x14ac:dyDescent="0.25">
      <c r="A42" s="11">
        <v>1032</v>
      </c>
      <c r="B42" s="10" t="s">
        <v>37</v>
      </c>
      <c r="C42" s="10" t="s">
        <v>42</v>
      </c>
      <c r="D42" s="10" t="s">
        <v>43</v>
      </c>
    </row>
    <row r="43" spans="1:4" x14ac:dyDescent="0.25">
      <c r="A43" s="11">
        <v>1032</v>
      </c>
      <c r="B43" s="10" t="s">
        <v>37</v>
      </c>
      <c r="C43" s="10" t="s">
        <v>42</v>
      </c>
      <c r="D43" s="10" t="s">
        <v>43</v>
      </c>
    </row>
    <row r="44" spans="1:4" x14ac:dyDescent="0.25">
      <c r="A44" s="11">
        <v>1032</v>
      </c>
      <c r="B44" s="10" t="s">
        <v>37</v>
      </c>
      <c r="C44" s="10" t="s">
        <v>42</v>
      </c>
      <c r="D44" s="10" t="s">
        <v>43</v>
      </c>
    </row>
    <row r="45" spans="1:4" x14ac:dyDescent="0.25">
      <c r="A45" s="11">
        <v>1032</v>
      </c>
      <c r="B45" s="10" t="s">
        <v>37</v>
      </c>
      <c r="C45" s="10" t="s">
        <v>42</v>
      </c>
      <c r="D45" s="10" t="s">
        <v>43</v>
      </c>
    </row>
    <row r="46" spans="1:4" x14ac:dyDescent="0.25">
      <c r="A46" s="11">
        <v>1032</v>
      </c>
      <c r="B46" s="10" t="s">
        <v>37</v>
      </c>
      <c r="C46" s="10" t="s">
        <v>42</v>
      </c>
      <c r="D46" s="10" t="s">
        <v>43</v>
      </c>
    </row>
    <row r="47" spans="1:4" x14ac:dyDescent="0.25">
      <c r="A47" s="11">
        <v>1032</v>
      </c>
      <c r="B47" s="10" t="s">
        <v>37</v>
      </c>
      <c r="C47" s="10" t="s">
        <v>42</v>
      </c>
      <c r="D47" s="10" t="s">
        <v>43</v>
      </c>
    </row>
    <row r="48" spans="1:4" x14ac:dyDescent="0.25">
      <c r="A48" s="11">
        <v>1032</v>
      </c>
      <c r="B48" s="10" t="s">
        <v>37</v>
      </c>
      <c r="C48" s="10" t="s">
        <v>42</v>
      </c>
      <c r="D48" s="10" t="s">
        <v>43</v>
      </c>
    </row>
    <row r="49" spans="1:4" x14ac:dyDescent="0.25">
      <c r="A49" s="11">
        <v>1032</v>
      </c>
      <c r="B49" s="10" t="s">
        <v>37</v>
      </c>
      <c r="C49" s="10" t="s">
        <v>42</v>
      </c>
      <c r="D49" s="10" t="s">
        <v>43</v>
      </c>
    </row>
    <row r="50" spans="1:4" x14ac:dyDescent="0.25">
      <c r="A50" s="11">
        <v>1032</v>
      </c>
      <c r="B50" s="10" t="s">
        <v>37</v>
      </c>
      <c r="C50" s="10" t="s">
        <v>42</v>
      </c>
      <c r="D50" s="10" t="s">
        <v>43</v>
      </c>
    </row>
    <row r="51" spans="1:4" x14ac:dyDescent="0.25">
      <c r="A51" s="11">
        <v>1032</v>
      </c>
      <c r="B51" s="10" t="s">
        <v>37</v>
      </c>
      <c r="C51" s="10" t="s">
        <v>42</v>
      </c>
      <c r="D51" s="10" t="s">
        <v>43</v>
      </c>
    </row>
    <row r="52" spans="1:4" x14ac:dyDescent="0.25">
      <c r="A52" s="11">
        <v>1032</v>
      </c>
      <c r="B52" s="10" t="s">
        <v>37</v>
      </c>
      <c r="C52" s="10" t="s">
        <v>42</v>
      </c>
      <c r="D52" s="10" t="s">
        <v>43</v>
      </c>
    </row>
    <row r="53" spans="1:4" x14ac:dyDescent="0.25">
      <c r="A53" s="11">
        <v>1032</v>
      </c>
      <c r="B53" s="10" t="s">
        <v>37</v>
      </c>
      <c r="C53" s="10" t="s">
        <v>42</v>
      </c>
      <c r="D53" s="10" t="s">
        <v>43</v>
      </c>
    </row>
    <row r="54" spans="1:4" x14ac:dyDescent="0.25">
      <c r="A54" s="11">
        <v>1032</v>
      </c>
      <c r="B54" s="10" t="s">
        <v>37</v>
      </c>
      <c r="C54" s="10" t="s">
        <v>42</v>
      </c>
      <c r="D54" s="10" t="s">
        <v>43</v>
      </c>
    </row>
    <row r="55" spans="1:4" x14ac:dyDescent="0.25">
      <c r="A55" s="11">
        <v>1032</v>
      </c>
      <c r="B55" s="10" t="s">
        <v>37</v>
      </c>
      <c r="C55" s="10" t="s">
        <v>42</v>
      </c>
      <c r="D55" s="10" t="s">
        <v>43</v>
      </c>
    </row>
    <row r="56" spans="1:4" x14ac:dyDescent="0.25">
      <c r="A56" s="11">
        <v>1032</v>
      </c>
      <c r="B56" s="10" t="s">
        <v>37</v>
      </c>
      <c r="C56" s="10" t="s">
        <v>42</v>
      </c>
      <c r="D56" s="10" t="s">
        <v>43</v>
      </c>
    </row>
    <row r="57" spans="1:4" x14ac:dyDescent="0.25">
      <c r="A57" s="11">
        <v>1032</v>
      </c>
      <c r="B57" s="10" t="s">
        <v>37</v>
      </c>
      <c r="C57" s="10" t="s">
        <v>42</v>
      </c>
      <c r="D57" s="10" t="s">
        <v>43</v>
      </c>
    </row>
    <row r="58" spans="1:4" x14ac:dyDescent="0.25">
      <c r="A58" s="11">
        <v>1032</v>
      </c>
      <c r="B58" s="10" t="s">
        <v>37</v>
      </c>
      <c r="C58" s="10" t="s">
        <v>42</v>
      </c>
      <c r="D58" s="10" t="s">
        <v>43</v>
      </c>
    </row>
    <row r="59" spans="1:4" x14ac:dyDescent="0.25">
      <c r="A59" s="11">
        <v>1032</v>
      </c>
      <c r="B59" s="10" t="s">
        <v>37</v>
      </c>
      <c r="C59" s="10" t="s">
        <v>42</v>
      </c>
      <c r="D59" s="10" t="s">
        <v>43</v>
      </c>
    </row>
    <row r="60" spans="1:4" x14ac:dyDescent="0.25">
      <c r="A60" s="11">
        <v>1032</v>
      </c>
      <c r="B60" s="10" t="s">
        <v>37</v>
      </c>
      <c r="C60" s="10" t="s">
        <v>42</v>
      </c>
      <c r="D60" s="10" t="s">
        <v>43</v>
      </c>
    </row>
    <row r="61" spans="1:4" x14ac:dyDescent="0.25">
      <c r="A61" s="11">
        <v>1032</v>
      </c>
      <c r="B61" s="10" t="s">
        <v>37</v>
      </c>
      <c r="C61" s="10" t="s">
        <v>42</v>
      </c>
      <c r="D61" s="10" t="s">
        <v>43</v>
      </c>
    </row>
    <row r="62" spans="1:4" x14ac:dyDescent="0.25">
      <c r="A62" s="11">
        <v>1032</v>
      </c>
      <c r="B62" s="10" t="s">
        <v>37</v>
      </c>
      <c r="C62" s="10" t="s">
        <v>42</v>
      </c>
      <c r="D62" s="10" t="s">
        <v>43</v>
      </c>
    </row>
    <row r="63" spans="1:4" x14ac:dyDescent="0.25">
      <c r="A63" s="11">
        <v>1032</v>
      </c>
      <c r="B63" s="10" t="s">
        <v>37</v>
      </c>
      <c r="C63" s="10" t="s">
        <v>42</v>
      </c>
      <c r="D63" s="10" t="s">
        <v>43</v>
      </c>
    </row>
    <row r="64" spans="1:4" x14ac:dyDescent="0.25">
      <c r="A64" s="11">
        <v>1032</v>
      </c>
      <c r="B64" s="10" t="s">
        <v>37</v>
      </c>
      <c r="C64" s="10" t="s">
        <v>42</v>
      </c>
      <c r="D64" s="10" t="s">
        <v>43</v>
      </c>
    </row>
    <row r="65" spans="1:4" x14ac:dyDescent="0.25">
      <c r="A65" s="11">
        <v>1032</v>
      </c>
      <c r="B65" s="10" t="s">
        <v>37</v>
      </c>
      <c r="C65" s="10" t="s">
        <v>42</v>
      </c>
      <c r="D65" s="10" t="s">
        <v>43</v>
      </c>
    </row>
    <row r="66" spans="1:4" x14ac:dyDescent="0.25">
      <c r="A66" s="11">
        <v>1032</v>
      </c>
      <c r="B66" s="10" t="s">
        <v>37</v>
      </c>
      <c r="C66" s="10" t="s">
        <v>42</v>
      </c>
      <c r="D66" s="10" t="s">
        <v>43</v>
      </c>
    </row>
    <row r="67" spans="1:4" x14ac:dyDescent="0.25">
      <c r="A67" s="11">
        <v>1032</v>
      </c>
      <c r="B67" s="10" t="s">
        <v>37</v>
      </c>
      <c r="C67" s="10" t="s">
        <v>42</v>
      </c>
      <c r="D67" s="10" t="s">
        <v>43</v>
      </c>
    </row>
    <row r="68" spans="1:4" x14ac:dyDescent="0.25">
      <c r="A68" s="11">
        <v>1032</v>
      </c>
      <c r="B68" s="10" t="s">
        <v>37</v>
      </c>
      <c r="C68" s="10" t="s">
        <v>42</v>
      </c>
      <c r="D68" s="10" t="s">
        <v>43</v>
      </c>
    </row>
    <row r="69" spans="1:4" x14ac:dyDescent="0.25">
      <c r="A69" s="11">
        <v>1032</v>
      </c>
      <c r="B69" s="10" t="s">
        <v>37</v>
      </c>
      <c r="C69" s="10" t="s">
        <v>42</v>
      </c>
      <c r="D69" s="10" t="s">
        <v>43</v>
      </c>
    </row>
    <row r="70" spans="1:4" x14ac:dyDescent="0.25">
      <c r="A70" s="11">
        <v>1032</v>
      </c>
      <c r="B70" s="10" t="s">
        <v>37</v>
      </c>
      <c r="C70" s="10" t="s">
        <v>42</v>
      </c>
      <c r="D70" s="10" t="s">
        <v>43</v>
      </c>
    </row>
    <row r="71" spans="1:4" x14ac:dyDescent="0.25">
      <c r="A71" s="11">
        <v>1032</v>
      </c>
      <c r="B71" s="10" t="s">
        <v>37</v>
      </c>
      <c r="C71" s="10" t="s">
        <v>42</v>
      </c>
      <c r="D71" s="10" t="s">
        <v>43</v>
      </c>
    </row>
    <row r="72" spans="1:4" x14ac:dyDescent="0.25">
      <c r="A72" s="11">
        <v>1032</v>
      </c>
      <c r="B72" s="10" t="s">
        <v>37</v>
      </c>
      <c r="C72" s="10" t="s">
        <v>42</v>
      </c>
      <c r="D72" s="10" t="s">
        <v>43</v>
      </c>
    </row>
    <row r="73" spans="1:4" x14ac:dyDescent="0.25">
      <c r="A73" s="11">
        <v>1032</v>
      </c>
      <c r="B73" s="10" t="s">
        <v>37</v>
      </c>
      <c r="C73" s="10" t="s">
        <v>42</v>
      </c>
      <c r="D73" s="10" t="s">
        <v>43</v>
      </c>
    </row>
    <row r="74" spans="1:4" x14ac:dyDescent="0.25">
      <c r="A74" s="11">
        <v>1032</v>
      </c>
      <c r="B74" s="10" t="s">
        <v>37</v>
      </c>
      <c r="C74" s="10" t="s">
        <v>42</v>
      </c>
      <c r="D74" s="10" t="s">
        <v>43</v>
      </c>
    </row>
    <row r="75" spans="1:4" x14ac:dyDescent="0.25">
      <c r="A75" s="11">
        <v>1032</v>
      </c>
      <c r="B75" s="10" t="s">
        <v>37</v>
      </c>
      <c r="C75" s="10" t="s">
        <v>42</v>
      </c>
      <c r="D75" s="10" t="s">
        <v>43</v>
      </c>
    </row>
    <row r="76" spans="1:4" x14ac:dyDescent="0.25">
      <c r="A76" s="11">
        <v>1032</v>
      </c>
      <c r="B76" s="10" t="s">
        <v>37</v>
      </c>
      <c r="C76" s="10" t="s">
        <v>42</v>
      </c>
      <c r="D76" s="10" t="s">
        <v>43</v>
      </c>
    </row>
    <row r="77" spans="1:4" x14ac:dyDescent="0.25">
      <c r="A77" s="11">
        <v>1032</v>
      </c>
      <c r="B77" s="10" t="s">
        <v>37</v>
      </c>
      <c r="C77" s="10" t="s">
        <v>42</v>
      </c>
      <c r="D77" s="10" t="s">
        <v>43</v>
      </c>
    </row>
    <row r="78" spans="1:4" x14ac:dyDescent="0.25">
      <c r="A78" s="11">
        <v>1032</v>
      </c>
      <c r="B78" s="10" t="s">
        <v>37</v>
      </c>
      <c r="C78" s="10" t="s">
        <v>42</v>
      </c>
      <c r="D78" s="10" t="s">
        <v>43</v>
      </c>
    </row>
    <row r="79" spans="1:4" x14ac:dyDescent="0.25">
      <c r="A79" s="11">
        <v>1032</v>
      </c>
      <c r="B79" s="10" t="s">
        <v>37</v>
      </c>
      <c r="C79" s="10" t="s">
        <v>42</v>
      </c>
      <c r="D79" s="10" t="s">
        <v>43</v>
      </c>
    </row>
    <row r="80" spans="1:4" x14ac:dyDescent="0.25">
      <c r="A80" s="11">
        <v>1032</v>
      </c>
      <c r="B80" s="10" t="s">
        <v>37</v>
      </c>
      <c r="C80" s="10" t="s">
        <v>42</v>
      </c>
      <c r="D80" s="10" t="s">
        <v>43</v>
      </c>
    </row>
    <row r="81" spans="1:4" x14ac:dyDescent="0.25">
      <c r="A81" s="11">
        <v>1032</v>
      </c>
      <c r="B81" s="10" t="s">
        <v>37</v>
      </c>
      <c r="C81" s="10" t="s">
        <v>42</v>
      </c>
      <c r="D81" s="10" t="s">
        <v>43</v>
      </c>
    </row>
    <row r="82" spans="1:4" x14ac:dyDescent="0.25">
      <c r="A82" s="11">
        <v>1032</v>
      </c>
      <c r="B82" s="10" t="s">
        <v>37</v>
      </c>
      <c r="C82" s="10" t="s">
        <v>42</v>
      </c>
      <c r="D82" s="10" t="s">
        <v>43</v>
      </c>
    </row>
    <row r="83" spans="1:4" x14ac:dyDescent="0.25">
      <c r="A83" s="11">
        <v>1032</v>
      </c>
      <c r="B83" s="10" t="s">
        <v>37</v>
      </c>
      <c r="C83" s="10" t="s">
        <v>42</v>
      </c>
      <c r="D83" s="10" t="s">
        <v>43</v>
      </c>
    </row>
    <row r="84" spans="1:4" x14ac:dyDescent="0.25">
      <c r="A84" s="11">
        <v>1032</v>
      </c>
      <c r="B84" s="10" t="s">
        <v>37</v>
      </c>
      <c r="C84" s="10" t="s">
        <v>42</v>
      </c>
      <c r="D84" s="10" t="s">
        <v>43</v>
      </c>
    </row>
    <row r="85" spans="1:4" x14ac:dyDescent="0.25">
      <c r="A85" s="11">
        <v>1032</v>
      </c>
      <c r="B85" s="10" t="s">
        <v>37</v>
      </c>
      <c r="C85" s="10" t="s">
        <v>42</v>
      </c>
      <c r="D85" s="10" t="s">
        <v>43</v>
      </c>
    </row>
    <row r="86" spans="1:4" x14ac:dyDescent="0.25">
      <c r="A86" s="11">
        <v>1032</v>
      </c>
      <c r="B86" s="10" t="s">
        <v>37</v>
      </c>
      <c r="C86" s="10" t="s">
        <v>42</v>
      </c>
      <c r="D86" s="10" t="s">
        <v>43</v>
      </c>
    </row>
    <row r="87" spans="1:4" x14ac:dyDescent="0.25">
      <c r="A87" s="11">
        <v>1032</v>
      </c>
      <c r="B87" s="10" t="s">
        <v>37</v>
      </c>
      <c r="C87" s="10" t="s">
        <v>42</v>
      </c>
      <c r="D87" s="10" t="s">
        <v>43</v>
      </c>
    </row>
    <row r="88" spans="1:4" x14ac:dyDescent="0.25">
      <c r="A88" s="11">
        <v>1032</v>
      </c>
      <c r="B88" s="10" t="s">
        <v>37</v>
      </c>
      <c r="C88" s="10" t="s">
        <v>42</v>
      </c>
      <c r="D88" s="10" t="s">
        <v>43</v>
      </c>
    </row>
    <row r="89" spans="1:4" x14ac:dyDescent="0.25">
      <c r="A89" s="11">
        <v>1032</v>
      </c>
      <c r="B89" s="10" t="s">
        <v>37</v>
      </c>
      <c r="C89" s="10" t="s">
        <v>42</v>
      </c>
      <c r="D89" s="10" t="s">
        <v>43</v>
      </c>
    </row>
    <row r="90" spans="1:4" x14ac:dyDescent="0.25">
      <c r="A90" s="11">
        <v>1032</v>
      </c>
      <c r="B90" s="10" t="s">
        <v>37</v>
      </c>
      <c r="C90" s="10" t="s">
        <v>42</v>
      </c>
      <c r="D90" s="10" t="s">
        <v>43</v>
      </c>
    </row>
    <row r="91" spans="1:4" x14ac:dyDescent="0.25">
      <c r="A91" s="11">
        <v>1032</v>
      </c>
      <c r="B91" s="10" t="s">
        <v>37</v>
      </c>
      <c r="C91" s="10" t="s">
        <v>42</v>
      </c>
      <c r="D91" s="10" t="s">
        <v>43</v>
      </c>
    </row>
    <row r="92" spans="1:4" x14ac:dyDescent="0.25">
      <c r="A92" s="11">
        <v>1032</v>
      </c>
      <c r="B92" s="10" t="s">
        <v>37</v>
      </c>
      <c r="C92" s="10" t="s">
        <v>42</v>
      </c>
      <c r="D92" s="10" t="s">
        <v>43</v>
      </c>
    </row>
    <row r="93" spans="1:4" x14ac:dyDescent="0.25">
      <c r="A93" s="11">
        <v>1032</v>
      </c>
      <c r="B93" s="10" t="s">
        <v>37</v>
      </c>
      <c r="C93" s="10" t="s">
        <v>42</v>
      </c>
      <c r="D93" s="10" t="s">
        <v>43</v>
      </c>
    </row>
    <row r="94" spans="1:4" x14ac:dyDescent="0.25">
      <c r="A94" s="11">
        <v>1032</v>
      </c>
      <c r="B94" s="10" t="s">
        <v>37</v>
      </c>
      <c r="C94" s="10" t="s">
        <v>42</v>
      </c>
      <c r="D94" s="10" t="s">
        <v>43</v>
      </c>
    </row>
    <row r="95" spans="1:4" x14ac:dyDescent="0.25">
      <c r="A95" s="11">
        <v>1032</v>
      </c>
      <c r="B95" s="10" t="s">
        <v>37</v>
      </c>
      <c r="C95" s="10" t="s">
        <v>42</v>
      </c>
      <c r="D95" s="10" t="s">
        <v>43</v>
      </c>
    </row>
    <row r="96" spans="1:4" x14ac:dyDescent="0.25">
      <c r="A96" s="11">
        <v>1032</v>
      </c>
      <c r="B96" s="10" t="s">
        <v>37</v>
      </c>
      <c r="C96" s="10" t="s">
        <v>42</v>
      </c>
      <c r="D96" s="10" t="s">
        <v>43</v>
      </c>
    </row>
    <row r="97" spans="1:4" x14ac:dyDescent="0.25">
      <c r="A97" s="11">
        <v>1032</v>
      </c>
      <c r="B97" s="10" t="s">
        <v>37</v>
      </c>
      <c r="C97" s="10" t="s">
        <v>42</v>
      </c>
      <c r="D97" s="10" t="s">
        <v>43</v>
      </c>
    </row>
    <row r="98" spans="1:4" x14ac:dyDescent="0.25">
      <c r="A98" s="11">
        <v>1032</v>
      </c>
      <c r="B98" s="10" t="s">
        <v>37</v>
      </c>
      <c r="C98" s="10" t="s">
        <v>42</v>
      </c>
      <c r="D98" s="10" t="s">
        <v>43</v>
      </c>
    </row>
    <row r="99" spans="1:4" x14ac:dyDescent="0.25">
      <c r="A99" s="11">
        <v>1032</v>
      </c>
      <c r="B99" s="10" t="s">
        <v>37</v>
      </c>
      <c r="C99" s="10" t="s">
        <v>42</v>
      </c>
      <c r="D99" s="10" t="s">
        <v>43</v>
      </c>
    </row>
    <row r="100" spans="1:4" x14ac:dyDescent="0.25">
      <c r="A100" s="11">
        <v>1032</v>
      </c>
      <c r="B100" s="10" t="s">
        <v>37</v>
      </c>
      <c r="C100" s="10" t="s">
        <v>42</v>
      </c>
      <c r="D100" s="10" t="s">
        <v>43</v>
      </c>
    </row>
    <row r="101" spans="1:4" x14ac:dyDescent="0.25">
      <c r="A101" s="11">
        <v>1032</v>
      </c>
      <c r="B101" s="10" t="s">
        <v>37</v>
      </c>
      <c r="C101" s="10" t="s">
        <v>42</v>
      </c>
      <c r="D101" s="10" t="s">
        <v>43</v>
      </c>
    </row>
    <row r="102" spans="1:4" x14ac:dyDescent="0.25">
      <c r="A102" s="11">
        <v>1032</v>
      </c>
      <c r="B102" s="10" t="s">
        <v>37</v>
      </c>
      <c r="C102" s="10" t="s">
        <v>42</v>
      </c>
      <c r="D102" s="10" t="s">
        <v>43</v>
      </c>
    </row>
    <row r="103" spans="1:4" x14ac:dyDescent="0.25">
      <c r="A103" s="11">
        <v>1032</v>
      </c>
      <c r="B103" s="10" t="s">
        <v>37</v>
      </c>
      <c r="C103" s="10" t="s">
        <v>42</v>
      </c>
      <c r="D103" s="10" t="s">
        <v>43</v>
      </c>
    </row>
    <row r="104" spans="1:4" x14ac:dyDescent="0.25">
      <c r="A104" s="11">
        <v>1032</v>
      </c>
      <c r="B104" s="10" t="s">
        <v>37</v>
      </c>
      <c r="C104" s="10" t="s">
        <v>42</v>
      </c>
      <c r="D104" s="10" t="s">
        <v>43</v>
      </c>
    </row>
    <row r="105" spans="1:4" x14ac:dyDescent="0.25">
      <c r="A105" s="11">
        <v>1032</v>
      </c>
      <c r="B105" s="10" t="s">
        <v>37</v>
      </c>
      <c r="C105" s="10" t="s">
        <v>42</v>
      </c>
      <c r="D105" s="10" t="s">
        <v>43</v>
      </c>
    </row>
    <row r="106" spans="1:4" x14ac:dyDescent="0.25">
      <c r="A106" s="11">
        <v>1032</v>
      </c>
      <c r="B106" s="10" t="s">
        <v>37</v>
      </c>
      <c r="C106" s="10" t="s">
        <v>42</v>
      </c>
      <c r="D106" s="10" t="s">
        <v>43</v>
      </c>
    </row>
    <row r="107" spans="1:4" x14ac:dyDescent="0.25">
      <c r="A107" s="11">
        <v>1032</v>
      </c>
      <c r="B107" s="10" t="s">
        <v>37</v>
      </c>
      <c r="C107" s="10" t="s">
        <v>42</v>
      </c>
      <c r="D107" s="10" t="s">
        <v>43</v>
      </c>
    </row>
    <row r="108" spans="1:4" x14ac:dyDescent="0.25">
      <c r="A108" s="11">
        <v>1032</v>
      </c>
      <c r="B108" s="10" t="s">
        <v>37</v>
      </c>
      <c r="C108" s="10" t="s">
        <v>42</v>
      </c>
      <c r="D108" s="10" t="s">
        <v>43</v>
      </c>
    </row>
    <row r="109" spans="1:4" x14ac:dyDescent="0.25">
      <c r="A109" s="11">
        <v>1032</v>
      </c>
      <c r="B109" s="10" t="s">
        <v>37</v>
      </c>
      <c r="C109" s="10" t="s">
        <v>42</v>
      </c>
      <c r="D109" s="10" t="s">
        <v>43</v>
      </c>
    </row>
    <row r="110" spans="1:4" x14ac:dyDescent="0.25">
      <c r="A110" s="11">
        <v>1032</v>
      </c>
      <c r="B110" s="10" t="s">
        <v>37</v>
      </c>
      <c r="C110" s="10" t="s">
        <v>42</v>
      </c>
      <c r="D110" s="10" t="s">
        <v>43</v>
      </c>
    </row>
    <row r="111" spans="1:4" x14ac:dyDescent="0.25">
      <c r="A111" s="11">
        <v>1032</v>
      </c>
      <c r="B111" s="10" t="s">
        <v>37</v>
      </c>
      <c r="C111" s="10" t="s">
        <v>42</v>
      </c>
      <c r="D111" s="10" t="s">
        <v>43</v>
      </c>
    </row>
    <row r="112" spans="1:4" x14ac:dyDescent="0.25">
      <c r="A112" s="11">
        <v>1032</v>
      </c>
      <c r="B112" s="10" t="s">
        <v>37</v>
      </c>
      <c r="C112" s="10" t="s">
        <v>42</v>
      </c>
      <c r="D112" s="10" t="s">
        <v>43</v>
      </c>
    </row>
    <row r="113" spans="1:4" x14ac:dyDescent="0.25">
      <c r="A113" s="11">
        <v>1032</v>
      </c>
      <c r="B113" s="10" t="s">
        <v>37</v>
      </c>
      <c r="C113" s="10" t="s">
        <v>42</v>
      </c>
      <c r="D113" s="10" t="s">
        <v>43</v>
      </c>
    </row>
    <row r="114" spans="1:4" x14ac:dyDescent="0.25">
      <c r="A114" s="11">
        <v>1032</v>
      </c>
      <c r="B114" s="10" t="s">
        <v>37</v>
      </c>
      <c r="C114" s="10" t="s">
        <v>42</v>
      </c>
      <c r="D114" s="10" t="s">
        <v>43</v>
      </c>
    </row>
    <row r="115" spans="1:4" x14ac:dyDescent="0.25">
      <c r="A115" s="11">
        <v>1032</v>
      </c>
      <c r="B115" s="10" t="s">
        <v>37</v>
      </c>
      <c r="C115" s="10" t="s">
        <v>42</v>
      </c>
      <c r="D115" s="10" t="s">
        <v>43</v>
      </c>
    </row>
    <row r="116" spans="1:4" x14ac:dyDescent="0.25">
      <c r="A116" s="11">
        <v>1032</v>
      </c>
      <c r="B116" s="10" t="s">
        <v>37</v>
      </c>
      <c r="C116" s="10" t="s">
        <v>42</v>
      </c>
      <c r="D116" s="10" t="s">
        <v>43</v>
      </c>
    </row>
    <row r="117" spans="1:4" x14ac:dyDescent="0.25">
      <c r="A117" s="11">
        <v>1032</v>
      </c>
      <c r="B117" s="10" t="s">
        <v>37</v>
      </c>
      <c r="C117" s="10" t="s">
        <v>42</v>
      </c>
      <c r="D117" s="10" t="s">
        <v>43</v>
      </c>
    </row>
    <row r="118" spans="1:4" x14ac:dyDescent="0.25">
      <c r="A118" s="11">
        <v>1032</v>
      </c>
      <c r="B118" s="10" t="s">
        <v>37</v>
      </c>
      <c r="C118" s="10" t="s">
        <v>42</v>
      </c>
      <c r="D118" s="10" t="s">
        <v>43</v>
      </c>
    </row>
    <row r="119" spans="1:4" x14ac:dyDescent="0.25">
      <c r="A119" s="11">
        <v>1032</v>
      </c>
      <c r="B119" s="10" t="s">
        <v>37</v>
      </c>
      <c r="C119" s="10" t="s">
        <v>42</v>
      </c>
      <c r="D119" s="10" t="s">
        <v>43</v>
      </c>
    </row>
    <row r="120" spans="1:4" x14ac:dyDescent="0.25">
      <c r="A120" s="11">
        <v>1032</v>
      </c>
      <c r="B120" s="10" t="s">
        <v>37</v>
      </c>
      <c r="C120" s="10" t="s">
        <v>42</v>
      </c>
      <c r="D120" s="10" t="s">
        <v>43</v>
      </c>
    </row>
    <row r="121" spans="1:4" x14ac:dyDescent="0.25">
      <c r="A121" s="11">
        <v>1032</v>
      </c>
      <c r="B121" s="10" t="s">
        <v>37</v>
      </c>
      <c r="C121" s="10" t="s">
        <v>42</v>
      </c>
      <c r="D121" s="10" t="s">
        <v>43</v>
      </c>
    </row>
    <row r="122" spans="1:4" x14ac:dyDescent="0.25">
      <c r="A122" s="11">
        <v>1032</v>
      </c>
      <c r="B122" s="10" t="s">
        <v>37</v>
      </c>
      <c r="C122" s="10" t="s">
        <v>42</v>
      </c>
      <c r="D122" s="10" t="s">
        <v>43</v>
      </c>
    </row>
    <row r="123" spans="1:4" x14ac:dyDescent="0.25">
      <c r="A123" s="11">
        <v>1032</v>
      </c>
      <c r="B123" s="10" t="s">
        <v>37</v>
      </c>
      <c r="C123" s="10" t="s">
        <v>42</v>
      </c>
      <c r="D123" s="10" t="s">
        <v>43</v>
      </c>
    </row>
    <row r="124" spans="1:4" x14ac:dyDescent="0.25">
      <c r="A124" s="11">
        <v>1032</v>
      </c>
      <c r="B124" s="10" t="s">
        <v>37</v>
      </c>
      <c r="C124" s="10" t="s">
        <v>42</v>
      </c>
      <c r="D124" s="10" t="s">
        <v>43</v>
      </c>
    </row>
    <row r="125" spans="1:4" x14ac:dyDescent="0.25">
      <c r="A125" s="11">
        <v>1032</v>
      </c>
      <c r="B125" s="10" t="s">
        <v>37</v>
      </c>
      <c r="C125" s="10" t="s">
        <v>42</v>
      </c>
      <c r="D125" s="10" t="s">
        <v>43</v>
      </c>
    </row>
    <row r="126" spans="1:4" x14ac:dyDescent="0.25">
      <c r="A126" s="11">
        <v>1032</v>
      </c>
      <c r="B126" s="10" t="s">
        <v>37</v>
      </c>
      <c r="C126" s="10" t="s">
        <v>42</v>
      </c>
      <c r="D126" s="10" t="s">
        <v>43</v>
      </c>
    </row>
    <row r="127" spans="1:4" x14ac:dyDescent="0.25">
      <c r="A127" s="11">
        <v>1032</v>
      </c>
      <c r="B127" s="10" t="s">
        <v>37</v>
      </c>
      <c r="C127" s="10" t="s">
        <v>42</v>
      </c>
      <c r="D127" s="10" t="s">
        <v>43</v>
      </c>
    </row>
    <row r="128" spans="1:4" x14ac:dyDescent="0.25">
      <c r="A128" s="11">
        <v>1032</v>
      </c>
      <c r="B128" s="10" t="s">
        <v>37</v>
      </c>
      <c r="C128" s="10" t="s">
        <v>42</v>
      </c>
      <c r="D128" s="10" t="s">
        <v>43</v>
      </c>
    </row>
    <row r="129" spans="1:4" x14ac:dyDescent="0.25">
      <c r="A129" s="11">
        <v>1032</v>
      </c>
      <c r="B129" s="10" t="s">
        <v>37</v>
      </c>
      <c r="C129" s="10" t="s">
        <v>42</v>
      </c>
      <c r="D129" s="10" t="s">
        <v>43</v>
      </c>
    </row>
    <row r="130" spans="1:4" x14ac:dyDescent="0.25">
      <c r="A130" s="11">
        <v>1032</v>
      </c>
      <c r="B130" s="10" t="s">
        <v>37</v>
      </c>
      <c r="C130" s="10" t="s">
        <v>42</v>
      </c>
      <c r="D130" s="10" t="s">
        <v>43</v>
      </c>
    </row>
    <row r="131" spans="1:4" x14ac:dyDescent="0.25">
      <c r="A131" s="11">
        <v>1032</v>
      </c>
      <c r="B131" s="10" t="s">
        <v>37</v>
      </c>
      <c r="C131" s="10" t="s">
        <v>42</v>
      </c>
      <c r="D131" s="10" t="s">
        <v>43</v>
      </c>
    </row>
    <row r="132" spans="1:4" x14ac:dyDescent="0.25">
      <c r="A132" s="11">
        <v>1032</v>
      </c>
      <c r="B132" s="10" t="s">
        <v>37</v>
      </c>
      <c r="C132" s="10" t="s">
        <v>42</v>
      </c>
      <c r="D132" s="10" t="s">
        <v>43</v>
      </c>
    </row>
    <row r="133" spans="1:4" x14ac:dyDescent="0.25">
      <c r="A133" s="11">
        <v>1032</v>
      </c>
      <c r="B133" s="10" t="s">
        <v>37</v>
      </c>
      <c r="C133" s="10" t="s">
        <v>42</v>
      </c>
      <c r="D133" s="10" t="s">
        <v>43</v>
      </c>
    </row>
    <row r="134" spans="1:4" x14ac:dyDescent="0.25">
      <c r="A134" s="11">
        <v>1032</v>
      </c>
      <c r="B134" s="10" t="s">
        <v>37</v>
      </c>
      <c r="C134" s="10" t="s">
        <v>42</v>
      </c>
      <c r="D134" s="10" t="s">
        <v>43</v>
      </c>
    </row>
    <row r="135" spans="1:4" x14ac:dyDescent="0.25">
      <c r="A135" s="11">
        <v>1032</v>
      </c>
      <c r="B135" s="10" t="s">
        <v>37</v>
      </c>
      <c r="C135" s="10" t="s">
        <v>42</v>
      </c>
      <c r="D135" s="10" t="s">
        <v>43</v>
      </c>
    </row>
    <row r="136" spans="1:4" x14ac:dyDescent="0.25">
      <c r="A136" s="11">
        <v>1032</v>
      </c>
      <c r="B136" s="10" t="s">
        <v>37</v>
      </c>
      <c r="C136" s="10" t="s">
        <v>42</v>
      </c>
      <c r="D136" s="10" t="s">
        <v>43</v>
      </c>
    </row>
    <row r="137" spans="1:4" x14ac:dyDescent="0.25">
      <c r="A137" s="11">
        <v>1032</v>
      </c>
      <c r="B137" s="10" t="s">
        <v>37</v>
      </c>
      <c r="C137" s="10" t="s">
        <v>42</v>
      </c>
      <c r="D137" s="10" t="s">
        <v>43</v>
      </c>
    </row>
    <row r="138" spans="1:4" x14ac:dyDescent="0.25">
      <c r="A138" s="11">
        <v>1032</v>
      </c>
      <c r="B138" s="10" t="s">
        <v>37</v>
      </c>
      <c r="C138" s="10" t="s">
        <v>42</v>
      </c>
      <c r="D138" s="10" t="s">
        <v>43</v>
      </c>
    </row>
    <row r="139" spans="1:4" x14ac:dyDescent="0.25">
      <c r="A139" s="11">
        <v>1032</v>
      </c>
      <c r="B139" s="10" t="s">
        <v>37</v>
      </c>
      <c r="C139" s="10" t="s">
        <v>42</v>
      </c>
      <c r="D139" s="10" t="s">
        <v>43</v>
      </c>
    </row>
    <row r="140" spans="1:4" x14ac:dyDescent="0.25">
      <c r="A140" s="11">
        <v>1032</v>
      </c>
      <c r="B140" s="10" t="s">
        <v>37</v>
      </c>
      <c r="C140" s="10" t="s">
        <v>42</v>
      </c>
      <c r="D140" s="10" t="s">
        <v>43</v>
      </c>
    </row>
    <row r="141" spans="1:4" x14ac:dyDescent="0.25">
      <c r="A141" s="11">
        <v>1032</v>
      </c>
      <c r="B141" s="10" t="s">
        <v>37</v>
      </c>
      <c r="C141" s="10" t="s">
        <v>42</v>
      </c>
      <c r="D141" s="10" t="s">
        <v>43</v>
      </c>
    </row>
    <row r="142" spans="1:4" x14ac:dyDescent="0.25">
      <c r="A142" s="11">
        <v>1032</v>
      </c>
      <c r="B142" s="10" t="s">
        <v>37</v>
      </c>
      <c r="C142" s="10" t="s">
        <v>42</v>
      </c>
      <c r="D142" s="10" t="s">
        <v>43</v>
      </c>
    </row>
    <row r="143" spans="1:4" x14ac:dyDescent="0.25">
      <c r="A143" s="11">
        <v>1032</v>
      </c>
      <c r="B143" s="10" t="s">
        <v>37</v>
      </c>
      <c r="C143" s="10" t="s">
        <v>42</v>
      </c>
      <c r="D143" s="10" t="s">
        <v>43</v>
      </c>
    </row>
    <row r="144" spans="1:4" x14ac:dyDescent="0.25">
      <c r="A144" s="11">
        <v>1032</v>
      </c>
      <c r="B144" s="10" t="s">
        <v>37</v>
      </c>
      <c r="C144" s="10" t="s">
        <v>42</v>
      </c>
      <c r="D144" s="10" t="s">
        <v>43</v>
      </c>
    </row>
    <row r="145" spans="1:4" x14ac:dyDescent="0.25">
      <c r="A145" s="11">
        <v>1032</v>
      </c>
      <c r="B145" s="10" t="s">
        <v>37</v>
      </c>
      <c r="C145" s="10" t="s">
        <v>42</v>
      </c>
      <c r="D145" s="10" t="s">
        <v>43</v>
      </c>
    </row>
    <row r="146" spans="1:4" x14ac:dyDescent="0.25">
      <c r="A146" s="11">
        <v>1032</v>
      </c>
      <c r="B146" s="10" t="s">
        <v>37</v>
      </c>
      <c r="C146" s="10" t="s">
        <v>42</v>
      </c>
      <c r="D146" s="10" t="s">
        <v>43</v>
      </c>
    </row>
    <row r="147" spans="1:4" x14ac:dyDescent="0.25">
      <c r="A147" s="11">
        <v>1032</v>
      </c>
      <c r="B147" s="10" t="s">
        <v>37</v>
      </c>
      <c r="C147" s="10" t="s">
        <v>42</v>
      </c>
      <c r="D147" s="10" t="s">
        <v>43</v>
      </c>
    </row>
    <row r="148" spans="1:4" x14ac:dyDescent="0.25">
      <c r="A148" s="11">
        <v>1032</v>
      </c>
      <c r="B148" s="10" t="s">
        <v>37</v>
      </c>
      <c r="C148" s="10" t="s">
        <v>42</v>
      </c>
      <c r="D148" s="10" t="s">
        <v>43</v>
      </c>
    </row>
    <row r="149" spans="1:4" x14ac:dyDescent="0.25">
      <c r="A149" s="11">
        <v>1032</v>
      </c>
      <c r="B149" s="10" t="s">
        <v>37</v>
      </c>
      <c r="C149" s="10" t="s">
        <v>42</v>
      </c>
      <c r="D149" s="10" t="s">
        <v>43</v>
      </c>
    </row>
    <row r="150" spans="1:4" x14ac:dyDescent="0.25">
      <c r="A150" s="11">
        <v>1032</v>
      </c>
      <c r="B150" s="10" t="s">
        <v>37</v>
      </c>
      <c r="C150" s="10" t="s">
        <v>42</v>
      </c>
      <c r="D150" s="10" t="s">
        <v>43</v>
      </c>
    </row>
    <row r="151" spans="1:4" x14ac:dyDescent="0.25">
      <c r="A151" s="11">
        <v>1032</v>
      </c>
      <c r="B151" s="10" t="s">
        <v>37</v>
      </c>
      <c r="C151" s="10" t="s">
        <v>42</v>
      </c>
      <c r="D151" s="10" t="s">
        <v>43</v>
      </c>
    </row>
    <row r="152" spans="1:4" x14ac:dyDescent="0.25">
      <c r="A152" s="11">
        <v>1032</v>
      </c>
      <c r="B152" s="10" t="s">
        <v>37</v>
      </c>
      <c r="C152" s="10" t="s">
        <v>42</v>
      </c>
      <c r="D152" s="10" t="s">
        <v>43</v>
      </c>
    </row>
    <row r="153" spans="1:4" x14ac:dyDescent="0.25">
      <c r="A153" s="11">
        <v>1032</v>
      </c>
      <c r="B153" s="10" t="s">
        <v>37</v>
      </c>
      <c r="C153" s="10" t="s">
        <v>42</v>
      </c>
      <c r="D153" s="10" t="s">
        <v>43</v>
      </c>
    </row>
    <row r="154" spans="1:4" x14ac:dyDescent="0.25">
      <c r="A154" s="11">
        <v>1032</v>
      </c>
      <c r="B154" s="10" t="s">
        <v>37</v>
      </c>
      <c r="C154" s="10" t="s">
        <v>42</v>
      </c>
      <c r="D154" s="10" t="s">
        <v>43</v>
      </c>
    </row>
    <row r="155" spans="1:4" x14ac:dyDescent="0.25">
      <c r="A155" s="11">
        <v>1032</v>
      </c>
      <c r="B155" s="10" t="s">
        <v>37</v>
      </c>
      <c r="C155" s="10" t="s">
        <v>42</v>
      </c>
      <c r="D155" s="10" t="s">
        <v>43</v>
      </c>
    </row>
    <row r="156" spans="1:4" x14ac:dyDescent="0.25">
      <c r="A156" s="11">
        <v>1032</v>
      </c>
      <c r="B156" s="10" t="s">
        <v>37</v>
      </c>
      <c r="C156" s="10" t="s">
        <v>42</v>
      </c>
      <c r="D156" s="10" t="s">
        <v>43</v>
      </c>
    </row>
    <row r="157" spans="1:4" x14ac:dyDescent="0.25">
      <c r="A157" s="11">
        <v>1032</v>
      </c>
      <c r="B157" s="10" t="s">
        <v>37</v>
      </c>
      <c r="C157" s="10" t="s">
        <v>42</v>
      </c>
      <c r="D157" s="10" t="s">
        <v>43</v>
      </c>
    </row>
    <row r="158" spans="1:4" x14ac:dyDescent="0.25">
      <c r="A158" s="11">
        <v>1032</v>
      </c>
      <c r="B158" s="10" t="s">
        <v>37</v>
      </c>
      <c r="C158" s="10" t="s">
        <v>42</v>
      </c>
      <c r="D158" s="10" t="s">
        <v>43</v>
      </c>
    </row>
    <row r="159" spans="1:4" x14ac:dyDescent="0.25">
      <c r="A159" s="11">
        <v>1032</v>
      </c>
      <c r="B159" s="10" t="s">
        <v>37</v>
      </c>
      <c r="C159" s="10" t="s">
        <v>42</v>
      </c>
      <c r="D159" s="10" t="s">
        <v>43</v>
      </c>
    </row>
    <row r="160" spans="1:4" x14ac:dyDescent="0.25">
      <c r="A160" s="11">
        <v>1032</v>
      </c>
      <c r="B160" s="10" t="s">
        <v>37</v>
      </c>
      <c r="C160" s="10" t="s">
        <v>42</v>
      </c>
      <c r="D160" s="10" t="s">
        <v>43</v>
      </c>
    </row>
    <row r="161" spans="1:4" x14ac:dyDescent="0.25">
      <c r="A161" s="11">
        <v>1032</v>
      </c>
      <c r="B161" s="10" t="s">
        <v>37</v>
      </c>
      <c r="C161" s="10" t="s">
        <v>42</v>
      </c>
      <c r="D161" s="10" t="s">
        <v>43</v>
      </c>
    </row>
    <row r="162" spans="1:4" x14ac:dyDescent="0.25">
      <c r="A162" s="11">
        <v>1032</v>
      </c>
      <c r="B162" s="10" t="s">
        <v>37</v>
      </c>
      <c r="C162" s="10" t="s">
        <v>42</v>
      </c>
      <c r="D162" s="10" t="s">
        <v>43</v>
      </c>
    </row>
    <row r="163" spans="1:4" x14ac:dyDescent="0.25">
      <c r="A163" s="11">
        <v>1032</v>
      </c>
      <c r="B163" s="10" t="s">
        <v>37</v>
      </c>
      <c r="C163" s="10" t="s">
        <v>42</v>
      </c>
      <c r="D163" s="10" t="s">
        <v>43</v>
      </c>
    </row>
    <row r="164" spans="1:4" x14ac:dyDescent="0.25">
      <c r="A164" s="11">
        <v>1032</v>
      </c>
      <c r="B164" s="10" t="s">
        <v>37</v>
      </c>
      <c r="C164" s="10" t="s">
        <v>42</v>
      </c>
      <c r="D164" s="10" t="s">
        <v>43</v>
      </c>
    </row>
    <row r="165" spans="1:4" x14ac:dyDescent="0.25">
      <c r="A165" s="11">
        <v>1032</v>
      </c>
      <c r="B165" s="10" t="s">
        <v>37</v>
      </c>
      <c r="C165" s="10" t="s">
        <v>42</v>
      </c>
      <c r="D165" s="10" t="s">
        <v>43</v>
      </c>
    </row>
    <row r="166" spans="1:4" x14ac:dyDescent="0.25">
      <c r="A166" s="11">
        <v>1032</v>
      </c>
      <c r="B166" s="10" t="s">
        <v>37</v>
      </c>
      <c r="C166" s="10" t="s">
        <v>42</v>
      </c>
      <c r="D166" s="10" t="s">
        <v>43</v>
      </c>
    </row>
    <row r="167" spans="1:4" x14ac:dyDescent="0.25">
      <c r="A167" s="11">
        <v>1032</v>
      </c>
      <c r="B167" s="10" t="s">
        <v>37</v>
      </c>
      <c r="C167" s="10" t="s">
        <v>42</v>
      </c>
      <c r="D167" s="10" t="s">
        <v>43</v>
      </c>
    </row>
    <row r="168" spans="1:4" x14ac:dyDescent="0.25">
      <c r="A168" s="11">
        <v>1032</v>
      </c>
      <c r="B168" s="10" t="s">
        <v>37</v>
      </c>
      <c r="C168" s="10" t="s">
        <v>42</v>
      </c>
      <c r="D168" s="10" t="s">
        <v>43</v>
      </c>
    </row>
    <row r="169" spans="1:4" x14ac:dyDescent="0.25">
      <c r="A169" s="11">
        <v>1032</v>
      </c>
      <c r="B169" s="10" t="s">
        <v>37</v>
      </c>
      <c r="C169" s="10" t="s">
        <v>42</v>
      </c>
      <c r="D169" s="10" t="s">
        <v>43</v>
      </c>
    </row>
    <row r="170" spans="1:4" x14ac:dyDescent="0.25">
      <c r="A170" s="11">
        <v>1032</v>
      </c>
      <c r="B170" s="10" t="s">
        <v>37</v>
      </c>
      <c r="C170" s="10" t="s">
        <v>42</v>
      </c>
      <c r="D170" s="10" t="s">
        <v>43</v>
      </c>
    </row>
    <row r="171" spans="1:4" x14ac:dyDescent="0.25">
      <c r="A171" s="11">
        <v>1032</v>
      </c>
      <c r="B171" s="10" t="s">
        <v>37</v>
      </c>
      <c r="C171" s="10" t="s">
        <v>42</v>
      </c>
      <c r="D171" s="10" t="s">
        <v>43</v>
      </c>
    </row>
    <row r="172" spans="1:4" x14ac:dyDescent="0.25">
      <c r="A172" s="11">
        <v>1032</v>
      </c>
      <c r="B172" s="10" t="s">
        <v>37</v>
      </c>
      <c r="C172" s="10" t="s">
        <v>42</v>
      </c>
      <c r="D172" s="10" t="s">
        <v>43</v>
      </c>
    </row>
    <row r="173" spans="1:4" x14ac:dyDescent="0.25">
      <c r="A173" s="11">
        <v>1032</v>
      </c>
      <c r="B173" s="10" t="s">
        <v>37</v>
      </c>
      <c r="C173" s="10" t="s">
        <v>42</v>
      </c>
      <c r="D173" s="10" t="s">
        <v>43</v>
      </c>
    </row>
    <row r="174" spans="1:4" x14ac:dyDescent="0.25">
      <c r="A174" s="11">
        <v>1033</v>
      </c>
      <c r="B174" s="10" t="s">
        <v>37</v>
      </c>
      <c r="C174" s="10" t="s">
        <v>44</v>
      </c>
      <c r="D174" s="10" t="s">
        <v>43</v>
      </c>
    </row>
    <row r="175" spans="1:4" x14ac:dyDescent="0.25">
      <c r="A175" s="11">
        <v>1050</v>
      </c>
      <c r="B175" s="10" t="s">
        <v>37</v>
      </c>
      <c r="C175" s="10" t="s">
        <v>45</v>
      </c>
      <c r="D175" s="10" t="s">
        <v>46</v>
      </c>
    </row>
    <row r="176" spans="1:4" x14ac:dyDescent="0.25">
      <c r="A176" s="11">
        <v>1050</v>
      </c>
      <c r="B176" s="10" t="s">
        <v>37</v>
      </c>
      <c r="C176" s="10" t="s">
        <v>45</v>
      </c>
      <c r="D176" s="10" t="s">
        <v>46</v>
      </c>
    </row>
    <row r="177" spans="1:4" x14ac:dyDescent="0.25">
      <c r="A177" s="11">
        <v>1050</v>
      </c>
      <c r="B177" s="10" t="s">
        <v>37</v>
      </c>
      <c r="C177" s="10" t="s">
        <v>45</v>
      </c>
      <c r="D177" s="10" t="s">
        <v>46</v>
      </c>
    </row>
    <row r="178" spans="1:4" x14ac:dyDescent="0.25">
      <c r="A178" s="11">
        <v>1050</v>
      </c>
      <c r="B178" s="10" t="s">
        <v>37</v>
      </c>
      <c r="C178" s="10" t="s">
        <v>45</v>
      </c>
      <c r="D178" s="10" t="s">
        <v>46</v>
      </c>
    </row>
    <row r="179" spans="1:4" x14ac:dyDescent="0.25">
      <c r="A179" s="11">
        <v>1050</v>
      </c>
      <c r="B179" s="10" t="s">
        <v>37</v>
      </c>
      <c r="C179" s="10" t="s">
        <v>45</v>
      </c>
      <c r="D179" s="10" t="s">
        <v>46</v>
      </c>
    </row>
    <row r="180" spans="1:4" x14ac:dyDescent="0.25">
      <c r="A180" s="11">
        <v>1050</v>
      </c>
      <c r="B180" s="10" t="s">
        <v>37</v>
      </c>
      <c r="C180" s="10" t="s">
        <v>45</v>
      </c>
      <c r="D180" s="10" t="s">
        <v>46</v>
      </c>
    </row>
    <row r="181" spans="1:4" x14ac:dyDescent="0.25">
      <c r="A181" s="11">
        <v>1050</v>
      </c>
      <c r="B181" s="10" t="s">
        <v>37</v>
      </c>
      <c r="C181" s="10" t="s">
        <v>45</v>
      </c>
      <c r="D181" s="10" t="s">
        <v>46</v>
      </c>
    </row>
    <row r="182" spans="1:4" x14ac:dyDescent="0.25">
      <c r="A182" s="11">
        <v>1050</v>
      </c>
      <c r="B182" s="10" t="s">
        <v>37</v>
      </c>
      <c r="C182" s="10" t="s">
        <v>45</v>
      </c>
      <c r="D182" s="10" t="s">
        <v>46</v>
      </c>
    </row>
    <row r="183" spans="1:4" x14ac:dyDescent="0.25">
      <c r="A183" s="11">
        <v>1050</v>
      </c>
      <c r="B183" s="10" t="s">
        <v>37</v>
      </c>
      <c r="C183" s="10" t="s">
        <v>45</v>
      </c>
      <c r="D183" s="10" t="s">
        <v>46</v>
      </c>
    </row>
    <row r="184" spans="1:4" x14ac:dyDescent="0.25">
      <c r="A184" s="11">
        <v>1050</v>
      </c>
      <c r="B184" s="10" t="s">
        <v>37</v>
      </c>
      <c r="C184" s="10" t="s">
        <v>45</v>
      </c>
      <c r="D184" s="10" t="s">
        <v>46</v>
      </c>
    </row>
    <row r="185" spans="1:4" x14ac:dyDescent="0.25">
      <c r="A185" s="11">
        <v>1050</v>
      </c>
      <c r="B185" s="10" t="s">
        <v>37</v>
      </c>
      <c r="C185" s="10" t="s">
        <v>45</v>
      </c>
      <c r="D185" s="10" t="s">
        <v>46</v>
      </c>
    </row>
    <row r="186" spans="1:4" x14ac:dyDescent="0.25">
      <c r="A186" s="11">
        <v>1050</v>
      </c>
      <c r="B186" s="10" t="s">
        <v>37</v>
      </c>
      <c r="C186" s="10" t="s">
        <v>45</v>
      </c>
      <c r="D186" s="10" t="s">
        <v>46</v>
      </c>
    </row>
    <row r="187" spans="1:4" x14ac:dyDescent="0.25">
      <c r="A187" s="11">
        <v>1050</v>
      </c>
      <c r="B187" s="10" t="s">
        <v>37</v>
      </c>
      <c r="C187" s="10" t="s">
        <v>45</v>
      </c>
      <c r="D187" s="10" t="s">
        <v>46</v>
      </c>
    </row>
    <row r="188" spans="1:4" x14ac:dyDescent="0.25">
      <c r="A188" s="11">
        <v>1050</v>
      </c>
      <c r="B188" s="10" t="s">
        <v>37</v>
      </c>
      <c r="C188" s="10" t="s">
        <v>45</v>
      </c>
      <c r="D188" s="10" t="s">
        <v>46</v>
      </c>
    </row>
    <row r="189" spans="1:4" x14ac:dyDescent="0.25">
      <c r="A189" s="11">
        <v>1050</v>
      </c>
      <c r="B189" s="10" t="s">
        <v>37</v>
      </c>
      <c r="C189" s="10" t="s">
        <v>45</v>
      </c>
      <c r="D189" s="10" t="s">
        <v>46</v>
      </c>
    </row>
    <row r="190" spans="1:4" x14ac:dyDescent="0.25">
      <c r="A190" s="11">
        <v>1050</v>
      </c>
      <c r="B190" s="10" t="s">
        <v>37</v>
      </c>
      <c r="C190" s="10" t="s">
        <v>45</v>
      </c>
      <c r="D190" s="10" t="s">
        <v>46</v>
      </c>
    </row>
    <row r="191" spans="1:4" x14ac:dyDescent="0.25">
      <c r="A191" s="11">
        <v>1050</v>
      </c>
      <c r="B191" s="10" t="s">
        <v>37</v>
      </c>
      <c r="C191" s="10" t="s">
        <v>45</v>
      </c>
      <c r="D191" s="10" t="s">
        <v>46</v>
      </c>
    </row>
    <row r="192" spans="1:4" x14ac:dyDescent="0.25">
      <c r="A192" s="11">
        <v>1050</v>
      </c>
      <c r="B192" s="10" t="s">
        <v>37</v>
      </c>
      <c r="C192" s="10" t="s">
        <v>45</v>
      </c>
      <c r="D192" s="10" t="s">
        <v>46</v>
      </c>
    </row>
    <row r="193" spans="1:4" x14ac:dyDescent="0.25">
      <c r="A193" s="11">
        <v>1050</v>
      </c>
      <c r="B193" s="10" t="s">
        <v>37</v>
      </c>
      <c r="C193" s="10" t="s">
        <v>45</v>
      </c>
      <c r="D193" s="10" t="s">
        <v>46</v>
      </c>
    </row>
    <row r="194" spans="1:4" x14ac:dyDescent="0.25">
      <c r="A194" s="11">
        <v>1050</v>
      </c>
      <c r="B194" s="10" t="s">
        <v>37</v>
      </c>
      <c r="C194" s="10" t="s">
        <v>45</v>
      </c>
      <c r="D194" s="10" t="s">
        <v>46</v>
      </c>
    </row>
    <row r="195" spans="1:4" x14ac:dyDescent="0.25">
      <c r="A195" s="11">
        <v>1050</v>
      </c>
      <c r="B195" s="10" t="s">
        <v>37</v>
      </c>
      <c r="C195" s="10" t="s">
        <v>45</v>
      </c>
      <c r="D195" s="10" t="s">
        <v>46</v>
      </c>
    </row>
    <row r="196" spans="1:4" x14ac:dyDescent="0.25">
      <c r="A196" s="11">
        <v>1050</v>
      </c>
      <c r="B196" s="10" t="s">
        <v>37</v>
      </c>
      <c r="C196" s="10" t="s">
        <v>45</v>
      </c>
      <c r="D196" s="10" t="s">
        <v>46</v>
      </c>
    </row>
    <row r="197" spans="1:4" x14ac:dyDescent="0.25">
      <c r="A197" s="11">
        <v>1050</v>
      </c>
      <c r="B197" s="10" t="s">
        <v>37</v>
      </c>
      <c r="C197" s="10" t="s">
        <v>45</v>
      </c>
      <c r="D197" s="10" t="s">
        <v>46</v>
      </c>
    </row>
    <row r="198" spans="1:4" x14ac:dyDescent="0.25">
      <c r="A198" s="11">
        <v>1050</v>
      </c>
      <c r="B198" s="10" t="s">
        <v>37</v>
      </c>
      <c r="C198" s="10" t="s">
        <v>45</v>
      </c>
      <c r="D198" s="10" t="s">
        <v>46</v>
      </c>
    </row>
    <row r="199" spans="1:4" x14ac:dyDescent="0.25">
      <c r="A199" s="11">
        <v>1050</v>
      </c>
      <c r="B199" s="10" t="s">
        <v>37</v>
      </c>
      <c r="C199" s="10" t="s">
        <v>45</v>
      </c>
      <c r="D199" s="10" t="s">
        <v>46</v>
      </c>
    </row>
    <row r="200" spans="1:4" x14ac:dyDescent="0.25">
      <c r="A200" s="11">
        <v>1050</v>
      </c>
      <c r="B200" s="10" t="s">
        <v>37</v>
      </c>
      <c r="C200" s="10" t="s">
        <v>45</v>
      </c>
      <c r="D200" s="10" t="s">
        <v>46</v>
      </c>
    </row>
    <row r="201" spans="1:4" x14ac:dyDescent="0.25">
      <c r="A201" s="11">
        <v>1050</v>
      </c>
      <c r="B201" s="10" t="s">
        <v>37</v>
      </c>
      <c r="C201" s="10" t="s">
        <v>45</v>
      </c>
      <c r="D201" s="10" t="s">
        <v>46</v>
      </c>
    </row>
    <row r="202" spans="1:4" x14ac:dyDescent="0.25">
      <c r="A202" s="11">
        <v>1050</v>
      </c>
      <c r="B202" s="10" t="s">
        <v>37</v>
      </c>
      <c r="C202" s="10" t="s">
        <v>45</v>
      </c>
      <c r="D202" s="10" t="s">
        <v>46</v>
      </c>
    </row>
    <row r="203" spans="1:4" x14ac:dyDescent="0.25">
      <c r="A203" s="11">
        <v>1050</v>
      </c>
      <c r="B203" s="10" t="s">
        <v>37</v>
      </c>
      <c r="C203" s="10" t="s">
        <v>45</v>
      </c>
      <c r="D203" s="10" t="s">
        <v>46</v>
      </c>
    </row>
    <row r="204" spans="1:4" x14ac:dyDescent="0.25">
      <c r="A204" s="11">
        <v>1050</v>
      </c>
      <c r="B204" s="10" t="s">
        <v>37</v>
      </c>
      <c r="C204" s="10" t="s">
        <v>45</v>
      </c>
      <c r="D204" s="10" t="s">
        <v>46</v>
      </c>
    </row>
    <row r="205" spans="1:4" x14ac:dyDescent="0.25">
      <c r="A205" s="11">
        <v>1050</v>
      </c>
      <c r="B205" s="10" t="s">
        <v>37</v>
      </c>
      <c r="C205" s="10" t="s">
        <v>45</v>
      </c>
      <c r="D205" s="10" t="s">
        <v>46</v>
      </c>
    </row>
    <row r="206" spans="1:4" x14ac:dyDescent="0.25">
      <c r="A206" s="11">
        <v>1050</v>
      </c>
      <c r="B206" s="10" t="s">
        <v>37</v>
      </c>
      <c r="C206" s="10" t="s">
        <v>45</v>
      </c>
      <c r="D206" s="10" t="s">
        <v>46</v>
      </c>
    </row>
    <row r="207" spans="1:4" x14ac:dyDescent="0.25">
      <c r="A207" s="11">
        <v>1050</v>
      </c>
      <c r="B207" s="10" t="s">
        <v>37</v>
      </c>
      <c r="C207" s="10" t="s">
        <v>45</v>
      </c>
      <c r="D207" s="10" t="s">
        <v>46</v>
      </c>
    </row>
    <row r="208" spans="1:4" x14ac:dyDescent="0.25">
      <c r="A208" s="11">
        <v>1050</v>
      </c>
      <c r="B208" s="10" t="s">
        <v>37</v>
      </c>
      <c r="C208" s="10" t="s">
        <v>45</v>
      </c>
      <c r="D208" s="10" t="s">
        <v>46</v>
      </c>
    </row>
    <row r="209" spans="1:4" x14ac:dyDescent="0.25">
      <c r="A209" s="11">
        <v>1050</v>
      </c>
      <c r="B209" s="10" t="s">
        <v>37</v>
      </c>
      <c r="C209" s="10" t="s">
        <v>45</v>
      </c>
      <c r="D209" s="10" t="s">
        <v>46</v>
      </c>
    </row>
    <row r="210" spans="1:4" x14ac:dyDescent="0.25">
      <c r="A210" s="11">
        <v>1050</v>
      </c>
      <c r="B210" s="10" t="s">
        <v>37</v>
      </c>
      <c r="C210" s="10" t="s">
        <v>45</v>
      </c>
      <c r="D210" s="10" t="s">
        <v>46</v>
      </c>
    </row>
    <row r="211" spans="1:4" x14ac:dyDescent="0.25">
      <c r="A211" s="11">
        <v>1050</v>
      </c>
      <c r="B211" s="10" t="s">
        <v>37</v>
      </c>
      <c r="C211" s="10" t="s">
        <v>45</v>
      </c>
      <c r="D211" s="10" t="s">
        <v>46</v>
      </c>
    </row>
    <row r="212" spans="1:4" x14ac:dyDescent="0.25">
      <c r="A212" s="11">
        <v>1050</v>
      </c>
      <c r="B212" s="10" t="s">
        <v>37</v>
      </c>
      <c r="C212" s="10" t="s">
        <v>45</v>
      </c>
      <c r="D212" s="10" t="s">
        <v>46</v>
      </c>
    </row>
    <row r="213" spans="1:4" x14ac:dyDescent="0.25">
      <c r="A213" s="11">
        <v>1050</v>
      </c>
      <c r="B213" s="10" t="s">
        <v>37</v>
      </c>
      <c r="C213" s="10" t="s">
        <v>45</v>
      </c>
      <c r="D213" s="10" t="s">
        <v>46</v>
      </c>
    </row>
    <row r="214" spans="1:4" x14ac:dyDescent="0.25">
      <c r="A214" s="11">
        <v>1050</v>
      </c>
      <c r="B214" s="10" t="s">
        <v>37</v>
      </c>
      <c r="C214" s="10" t="s">
        <v>45</v>
      </c>
      <c r="D214" s="10" t="s">
        <v>46</v>
      </c>
    </row>
    <row r="215" spans="1:4" x14ac:dyDescent="0.25">
      <c r="A215" s="11">
        <v>1050</v>
      </c>
      <c r="B215" s="10" t="s">
        <v>37</v>
      </c>
      <c r="C215" s="10" t="s">
        <v>45</v>
      </c>
      <c r="D215" s="10" t="s">
        <v>46</v>
      </c>
    </row>
    <row r="216" spans="1:4" x14ac:dyDescent="0.25">
      <c r="A216" s="11">
        <v>1050</v>
      </c>
      <c r="B216" s="10" t="s">
        <v>37</v>
      </c>
      <c r="C216" s="10" t="s">
        <v>45</v>
      </c>
      <c r="D216" s="10" t="s">
        <v>46</v>
      </c>
    </row>
    <row r="217" spans="1:4" x14ac:dyDescent="0.25">
      <c r="A217" s="11">
        <v>1050</v>
      </c>
      <c r="B217" s="10" t="s">
        <v>37</v>
      </c>
      <c r="C217" s="10" t="s">
        <v>45</v>
      </c>
      <c r="D217" s="10" t="s">
        <v>46</v>
      </c>
    </row>
    <row r="218" spans="1:4" x14ac:dyDescent="0.25">
      <c r="A218" s="11">
        <v>1050</v>
      </c>
      <c r="B218" s="10" t="s">
        <v>37</v>
      </c>
      <c r="C218" s="10" t="s">
        <v>45</v>
      </c>
      <c r="D218" s="10" t="s">
        <v>46</v>
      </c>
    </row>
    <row r="219" spans="1:4" x14ac:dyDescent="0.25">
      <c r="A219" s="11">
        <v>1050</v>
      </c>
      <c r="B219" s="10" t="s">
        <v>37</v>
      </c>
      <c r="C219" s="10" t="s">
        <v>45</v>
      </c>
      <c r="D219" s="10" t="s">
        <v>46</v>
      </c>
    </row>
    <row r="220" spans="1:4" x14ac:dyDescent="0.25">
      <c r="A220" s="11">
        <v>1050</v>
      </c>
      <c r="B220" s="10" t="s">
        <v>37</v>
      </c>
      <c r="C220" s="10" t="s">
        <v>45</v>
      </c>
      <c r="D220" s="10" t="s">
        <v>46</v>
      </c>
    </row>
    <row r="221" spans="1:4" x14ac:dyDescent="0.25">
      <c r="A221" s="11">
        <v>1050</v>
      </c>
      <c r="B221" s="10" t="s">
        <v>37</v>
      </c>
      <c r="C221" s="10" t="s">
        <v>45</v>
      </c>
      <c r="D221" s="10" t="s">
        <v>46</v>
      </c>
    </row>
    <row r="222" spans="1:4" x14ac:dyDescent="0.25">
      <c r="A222" s="11">
        <v>1050</v>
      </c>
      <c r="B222" s="10" t="s">
        <v>37</v>
      </c>
      <c r="C222" s="10" t="s">
        <v>45</v>
      </c>
      <c r="D222" s="10" t="s">
        <v>46</v>
      </c>
    </row>
    <row r="223" spans="1:4" x14ac:dyDescent="0.25">
      <c r="A223" s="11">
        <v>1050</v>
      </c>
      <c r="B223" s="10" t="s">
        <v>37</v>
      </c>
      <c r="C223" s="10" t="s">
        <v>45</v>
      </c>
      <c r="D223" s="10" t="s">
        <v>46</v>
      </c>
    </row>
    <row r="224" spans="1:4" x14ac:dyDescent="0.25">
      <c r="A224" s="11">
        <v>1050</v>
      </c>
      <c r="B224" s="10" t="s">
        <v>37</v>
      </c>
      <c r="C224" s="10" t="s">
        <v>45</v>
      </c>
      <c r="D224" s="10" t="s">
        <v>46</v>
      </c>
    </row>
    <row r="225" spans="1:4" x14ac:dyDescent="0.25">
      <c r="A225" s="11">
        <v>1050</v>
      </c>
      <c r="B225" s="10" t="s">
        <v>37</v>
      </c>
      <c r="C225" s="10" t="s">
        <v>45</v>
      </c>
      <c r="D225" s="10" t="s">
        <v>46</v>
      </c>
    </row>
    <row r="226" spans="1:4" x14ac:dyDescent="0.25">
      <c r="A226" s="11">
        <v>1050</v>
      </c>
      <c r="B226" s="10" t="s">
        <v>37</v>
      </c>
      <c r="C226" s="10" t="s">
        <v>45</v>
      </c>
      <c r="D226" s="10" t="s">
        <v>46</v>
      </c>
    </row>
    <row r="227" spans="1:4" x14ac:dyDescent="0.25">
      <c r="A227" s="11">
        <v>1050</v>
      </c>
      <c r="B227" s="10" t="s">
        <v>37</v>
      </c>
      <c r="C227" s="10" t="s">
        <v>45</v>
      </c>
      <c r="D227" s="10" t="s">
        <v>46</v>
      </c>
    </row>
    <row r="228" spans="1:4" x14ac:dyDescent="0.25">
      <c r="A228" s="11">
        <v>1050</v>
      </c>
      <c r="B228" s="10" t="s">
        <v>37</v>
      </c>
      <c r="C228" s="10" t="s">
        <v>45</v>
      </c>
      <c r="D228" s="10" t="s">
        <v>46</v>
      </c>
    </row>
    <row r="229" spans="1:4" x14ac:dyDescent="0.25">
      <c r="A229" s="11">
        <v>1050</v>
      </c>
      <c r="B229" s="10" t="s">
        <v>37</v>
      </c>
      <c r="C229" s="10" t="s">
        <v>45</v>
      </c>
      <c r="D229" s="10" t="s">
        <v>46</v>
      </c>
    </row>
    <row r="230" spans="1:4" x14ac:dyDescent="0.25">
      <c r="A230" s="11">
        <v>1050</v>
      </c>
      <c r="B230" s="10" t="s">
        <v>37</v>
      </c>
      <c r="C230" s="10" t="s">
        <v>45</v>
      </c>
      <c r="D230" s="10" t="s">
        <v>46</v>
      </c>
    </row>
    <row r="231" spans="1:4" x14ac:dyDescent="0.25">
      <c r="A231" s="11">
        <v>1050</v>
      </c>
      <c r="B231" s="10" t="s">
        <v>37</v>
      </c>
      <c r="C231" s="10" t="s">
        <v>45</v>
      </c>
      <c r="D231" s="10" t="s">
        <v>46</v>
      </c>
    </row>
    <row r="232" spans="1:4" x14ac:dyDescent="0.25">
      <c r="A232" s="11">
        <v>1050</v>
      </c>
      <c r="B232" s="10" t="s">
        <v>37</v>
      </c>
      <c r="C232" s="10" t="s">
        <v>45</v>
      </c>
      <c r="D232" s="10" t="s">
        <v>46</v>
      </c>
    </row>
    <row r="233" spans="1:4" x14ac:dyDescent="0.25">
      <c r="A233" s="11">
        <v>1050</v>
      </c>
      <c r="B233" s="10" t="s">
        <v>37</v>
      </c>
      <c r="C233" s="10" t="s">
        <v>45</v>
      </c>
      <c r="D233" s="10" t="s">
        <v>46</v>
      </c>
    </row>
    <row r="234" spans="1:4" x14ac:dyDescent="0.25">
      <c r="A234" s="11">
        <v>1050</v>
      </c>
      <c r="B234" s="10" t="s">
        <v>37</v>
      </c>
      <c r="C234" s="10" t="s">
        <v>45</v>
      </c>
      <c r="D234" s="10" t="s">
        <v>46</v>
      </c>
    </row>
    <row r="235" spans="1:4" x14ac:dyDescent="0.25">
      <c r="A235" s="11">
        <v>1050</v>
      </c>
      <c r="B235" s="10" t="s">
        <v>37</v>
      </c>
      <c r="C235" s="10" t="s">
        <v>45</v>
      </c>
      <c r="D235" s="10" t="s">
        <v>46</v>
      </c>
    </row>
    <row r="236" spans="1:4" x14ac:dyDescent="0.25">
      <c r="A236" s="11">
        <v>1050</v>
      </c>
      <c r="B236" s="10" t="s">
        <v>37</v>
      </c>
      <c r="C236" s="10" t="s">
        <v>45</v>
      </c>
      <c r="D236" s="10" t="s">
        <v>46</v>
      </c>
    </row>
    <row r="237" spans="1:4" x14ac:dyDescent="0.25">
      <c r="A237" s="11">
        <v>1050</v>
      </c>
      <c r="B237" s="10" t="s">
        <v>37</v>
      </c>
      <c r="C237" s="10" t="s">
        <v>45</v>
      </c>
      <c r="D237" s="10" t="s">
        <v>46</v>
      </c>
    </row>
    <row r="238" spans="1:4" x14ac:dyDescent="0.25">
      <c r="A238" s="11">
        <v>1050</v>
      </c>
      <c r="B238" s="10" t="s">
        <v>37</v>
      </c>
      <c r="C238" s="10" t="s">
        <v>45</v>
      </c>
      <c r="D238" s="10" t="s">
        <v>46</v>
      </c>
    </row>
    <row r="239" spans="1:4" x14ac:dyDescent="0.25">
      <c r="A239" s="11">
        <v>1050</v>
      </c>
      <c r="B239" s="10" t="s">
        <v>37</v>
      </c>
      <c r="C239" s="10" t="s">
        <v>45</v>
      </c>
      <c r="D239" s="10" t="s">
        <v>46</v>
      </c>
    </row>
    <row r="240" spans="1:4" x14ac:dyDescent="0.25">
      <c r="A240" s="11">
        <v>1050</v>
      </c>
      <c r="B240" s="10" t="s">
        <v>37</v>
      </c>
      <c r="C240" s="10" t="s">
        <v>45</v>
      </c>
      <c r="D240" s="10" t="s">
        <v>46</v>
      </c>
    </row>
    <row r="241" spans="1:4" x14ac:dyDescent="0.25">
      <c r="A241" s="11">
        <v>1050</v>
      </c>
      <c r="B241" s="10" t="s">
        <v>37</v>
      </c>
      <c r="C241" s="10" t="s">
        <v>45</v>
      </c>
      <c r="D241" s="10" t="s">
        <v>46</v>
      </c>
    </row>
    <row r="242" spans="1:4" x14ac:dyDescent="0.25">
      <c r="A242" s="11">
        <v>1050</v>
      </c>
      <c r="B242" s="10" t="s">
        <v>37</v>
      </c>
      <c r="C242" s="10" t="s">
        <v>45</v>
      </c>
      <c r="D242" s="10" t="s">
        <v>46</v>
      </c>
    </row>
    <row r="243" spans="1:4" x14ac:dyDescent="0.25">
      <c r="A243" s="11">
        <v>1050</v>
      </c>
      <c r="B243" s="10" t="s">
        <v>37</v>
      </c>
      <c r="C243" s="10" t="s">
        <v>45</v>
      </c>
      <c r="D243" s="10" t="s">
        <v>46</v>
      </c>
    </row>
    <row r="244" spans="1:4" x14ac:dyDescent="0.25">
      <c r="A244" s="11">
        <v>1050</v>
      </c>
      <c r="B244" s="10" t="s">
        <v>37</v>
      </c>
      <c r="C244" s="10" t="s">
        <v>45</v>
      </c>
      <c r="D244" s="10" t="s">
        <v>46</v>
      </c>
    </row>
    <row r="245" spans="1:4" x14ac:dyDescent="0.25">
      <c r="A245" s="11">
        <v>1050</v>
      </c>
      <c r="B245" s="10" t="s">
        <v>37</v>
      </c>
      <c r="C245" s="10" t="s">
        <v>45</v>
      </c>
      <c r="D245" s="10" t="s">
        <v>46</v>
      </c>
    </row>
    <row r="246" spans="1:4" x14ac:dyDescent="0.25">
      <c r="A246" s="11">
        <v>1050</v>
      </c>
      <c r="B246" s="10" t="s">
        <v>37</v>
      </c>
      <c r="C246" s="10" t="s">
        <v>45</v>
      </c>
      <c r="D246" s="10" t="s">
        <v>46</v>
      </c>
    </row>
    <row r="247" spans="1:4" x14ac:dyDescent="0.25">
      <c r="A247" s="11">
        <v>1050</v>
      </c>
      <c r="B247" s="10" t="s">
        <v>37</v>
      </c>
      <c r="C247" s="10" t="s">
        <v>45</v>
      </c>
      <c r="D247" s="10" t="s">
        <v>46</v>
      </c>
    </row>
    <row r="248" spans="1:4" x14ac:dyDescent="0.25">
      <c r="A248" s="11">
        <v>1050</v>
      </c>
      <c r="B248" s="10" t="s">
        <v>37</v>
      </c>
      <c r="C248" s="10" t="s">
        <v>45</v>
      </c>
      <c r="D248" s="10" t="s">
        <v>46</v>
      </c>
    </row>
    <row r="249" spans="1:4" x14ac:dyDescent="0.25">
      <c r="A249" s="11">
        <v>1050</v>
      </c>
      <c r="B249" s="10" t="s">
        <v>37</v>
      </c>
      <c r="C249" s="10" t="s">
        <v>45</v>
      </c>
      <c r="D249" s="10" t="s">
        <v>46</v>
      </c>
    </row>
    <row r="250" spans="1:4" x14ac:dyDescent="0.25">
      <c r="A250" s="11">
        <v>1050</v>
      </c>
      <c r="B250" s="10" t="s">
        <v>37</v>
      </c>
      <c r="C250" s="10" t="s">
        <v>45</v>
      </c>
      <c r="D250" s="10" t="s">
        <v>46</v>
      </c>
    </row>
    <row r="251" spans="1:4" x14ac:dyDescent="0.25">
      <c r="A251" s="11">
        <v>1050</v>
      </c>
      <c r="B251" s="10" t="s">
        <v>37</v>
      </c>
      <c r="C251" s="10" t="s">
        <v>45</v>
      </c>
      <c r="D251" s="10" t="s">
        <v>46</v>
      </c>
    </row>
    <row r="252" spans="1:4" x14ac:dyDescent="0.25">
      <c r="A252" s="11">
        <v>1050</v>
      </c>
      <c r="B252" s="10" t="s">
        <v>37</v>
      </c>
      <c r="C252" s="10" t="s">
        <v>45</v>
      </c>
      <c r="D252" s="10" t="s">
        <v>46</v>
      </c>
    </row>
    <row r="253" spans="1:4" x14ac:dyDescent="0.25">
      <c r="A253" s="11">
        <v>1050</v>
      </c>
      <c r="B253" s="10" t="s">
        <v>37</v>
      </c>
      <c r="C253" s="10" t="s">
        <v>45</v>
      </c>
      <c r="D253" s="10" t="s">
        <v>46</v>
      </c>
    </row>
    <row r="254" spans="1:4" x14ac:dyDescent="0.25">
      <c r="A254" s="11">
        <v>1050</v>
      </c>
      <c r="B254" s="10" t="s">
        <v>37</v>
      </c>
      <c r="C254" s="10" t="s">
        <v>45</v>
      </c>
      <c r="D254" s="10" t="s">
        <v>46</v>
      </c>
    </row>
    <row r="255" spans="1:4" x14ac:dyDescent="0.25">
      <c r="A255" s="11">
        <v>1050</v>
      </c>
      <c r="B255" s="10" t="s">
        <v>37</v>
      </c>
      <c r="C255" s="10" t="s">
        <v>45</v>
      </c>
      <c r="D255" s="10" t="s">
        <v>46</v>
      </c>
    </row>
    <row r="256" spans="1:4" x14ac:dyDescent="0.25">
      <c r="A256" s="11">
        <v>1050</v>
      </c>
      <c r="B256" s="10" t="s">
        <v>37</v>
      </c>
      <c r="C256" s="10" t="s">
        <v>45</v>
      </c>
      <c r="D256" s="10" t="s">
        <v>46</v>
      </c>
    </row>
    <row r="257" spans="1:4" x14ac:dyDescent="0.25">
      <c r="A257" s="11">
        <v>1050</v>
      </c>
      <c r="B257" s="10" t="s">
        <v>37</v>
      </c>
      <c r="C257" s="10" t="s">
        <v>45</v>
      </c>
      <c r="D257" s="10" t="s">
        <v>46</v>
      </c>
    </row>
    <row r="258" spans="1:4" x14ac:dyDescent="0.25">
      <c r="A258" s="11">
        <v>1050</v>
      </c>
      <c r="B258" s="10" t="s">
        <v>37</v>
      </c>
      <c r="C258" s="10" t="s">
        <v>45</v>
      </c>
      <c r="D258" s="10" t="s">
        <v>46</v>
      </c>
    </row>
    <row r="259" spans="1:4" x14ac:dyDescent="0.25">
      <c r="A259" s="11">
        <v>1050</v>
      </c>
      <c r="B259" s="10" t="s">
        <v>37</v>
      </c>
      <c r="C259" s="10" t="s">
        <v>45</v>
      </c>
      <c r="D259" s="10" t="s">
        <v>46</v>
      </c>
    </row>
    <row r="260" spans="1:4" x14ac:dyDescent="0.25">
      <c r="A260" s="11">
        <v>1050</v>
      </c>
      <c r="B260" s="10" t="s">
        <v>37</v>
      </c>
      <c r="C260" s="10" t="s">
        <v>45</v>
      </c>
      <c r="D260" s="10" t="s">
        <v>46</v>
      </c>
    </row>
    <row r="261" spans="1:4" x14ac:dyDescent="0.25">
      <c r="A261" s="11">
        <v>1050</v>
      </c>
      <c r="B261" s="10" t="s">
        <v>37</v>
      </c>
      <c r="C261" s="10" t="s">
        <v>45</v>
      </c>
      <c r="D261" s="10" t="s">
        <v>46</v>
      </c>
    </row>
    <row r="262" spans="1:4" x14ac:dyDescent="0.25">
      <c r="A262" s="11">
        <v>1050</v>
      </c>
      <c r="B262" s="10" t="s">
        <v>37</v>
      </c>
      <c r="C262" s="10" t="s">
        <v>45</v>
      </c>
      <c r="D262" s="10" t="s">
        <v>46</v>
      </c>
    </row>
    <row r="263" spans="1:4" x14ac:dyDescent="0.25">
      <c r="A263" s="11">
        <v>1050</v>
      </c>
      <c r="B263" s="10" t="s">
        <v>37</v>
      </c>
      <c r="C263" s="10" t="s">
        <v>45</v>
      </c>
      <c r="D263" s="10" t="s">
        <v>46</v>
      </c>
    </row>
    <row r="264" spans="1:4" x14ac:dyDescent="0.25">
      <c r="A264" s="11">
        <v>1050</v>
      </c>
      <c r="B264" s="10" t="s">
        <v>37</v>
      </c>
      <c r="C264" s="10" t="s">
        <v>45</v>
      </c>
      <c r="D264" s="10" t="s">
        <v>46</v>
      </c>
    </row>
    <row r="265" spans="1:4" x14ac:dyDescent="0.25">
      <c r="A265" s="11">
        <v>1050</v>
      </c>
      <c r="B265" s="10" t="s">
        <v>37</v>
      </c>
      <c r="C265" s="10" t="s">
        <v>45</v>
      </c>
      <c r="D265" s="10" t="s">
        <v>46</v>
      </c>
    </row>
    <row r="266" spans="1:4" x14ac:dyDescent="0.25">
      <c r="A266" s="11">
        <v>1050</v>
      </c>
      <c r="B266" s="10" t="s">
        <v>37</v>
      </c>
      <c r="C266" s="10" t="s">
        <v>45</v>
      </c>
      <c r="D266" s="10" t="s">
        <v>46</v>
      </c>
    </row>
    <row r="267" spans="1:4" x14ac:dyDescent="0.25">
      <c r="A267" s="11">
        <v>1050</v>
      </c>
      <c r="B267" s="10" t="s">
        <v>37</v>
      </c>
      <c r="C267" s="10" t="s">
        <v>45</v>
      </c>
      <c r="D267" s="10" t="s">
        <v>46</v>
      </c>
    </row>
    <row r="268" spans="1:4" x14ac:dyDescent="0.25">
      <c r="A268" s="11">
        <v>1050</v>
      </c>
      <c r="B268" s="10" t="s">
        <v>37</v>
      </c>
      <c r="C268" s="10" t="s">
        <v>45</v>
      </c>
      <c r="D268" s="10" t="s">
        <v>46</v>
      </c>
    </row>
    <row r="269" spans="1:4" x14ac:dyDescent="0.25">
      <c r="A269" s="11">
        <v>1050</v>
      </c>
      <c r="B269" s="10" t="s">
        <v>37</v>
      </c>
      <c r="C269" s="10" t="s">
        <v>45</v>
      </c>
      <c r="D269" s="10" t="s">
        <v>46</v>
      </c>
    </row>
    <row r="270" spans="1:4" x14ac:dyDescent="0.25">
      <c r="A270" s="11">
        <v>1050</v>
      </c>
      <c r="B270" s="10" t="s">
        <v>37</v>
      </c>
      <c r="C270" s="10" t="s">
        <v>45</v>
      </c>
      <c r="D270" s="10" t="s">
        <v>46</v>
      </c>
    </row>
    <row r="271" spans="1:4" x14ac:dyDescent="0.25">
      <c r="A271" s="11">
        <v>1050</v>
      </c>
      <c r="B271" s="10" t="s">
        <v>37</v>
      </c>
      <c r="C271" s="10" t="s">
        <v>45</v>
      </c>
      <c r="D271" s="10" t="s">
        <v>46</v>
      </c>
    </row>
    <row r="272" spans="1:4" x14ac:dyDescent="0.25">
      <c r="A272" s="11">
        <v>1050</v>
      </c>
      <c r="B272" s="10" t="s">
        <v>37</v>
      </c>
      <c r="C272" s="10" t="s">
        <v>45</v>
      </c>
      <c r="D272" s="10" t="s">
        <v>46</v>
      </c>
    </row>
    <row r="273" spans="1:4" x14ac:dyDescent="0.25">
      <c r="A273" s="11">
        <v>1050</v>
      </c>
      <c r="B273" s="10" t="s">
        <v>37</v>
      </c>
      <c r="C273" s="10" t="s">
        <v>45</v>
      </c>
      <c r="D273" s="10" t="s">
        <v>46</v>
      </c>
    </row>
    <row r="274" spans="1:4" x14ac:dyDescent="0.25">
      <c r="A274" s="11">
        <v>1050</v>
      </c>
      <c r="B274" s="10" t="s">
        <v>37</v>
      </c>
      <c r="C274" s="10" t="s">
        <v>45</v>
      </c>
      <c r="D274" s="10" t="s">
        <v>46</v>
      </c>
    </row>
    <row r="275" spans="1:4" x14ac:dyDescent="0.25">
      <c r="A275" s="11">
        <v>1050</v>
      </c>
      <c r="B275" s="10" t="s">
        <v>37</v>
      </c>
      <c r="C275" s="10" t="s">
        <v>45</v>
      </c>
      <c r="D275" s="10" t="s">
        <v>46</v>
      </c>
    </row>
    <row r="276" spans="1:4" x14ac:dyDescent="0.25">
      <c r="A276" s="11">
        <v>1050</v>
      </c>
      <c r="B276" s="10" t="s">
        <v>37</v>
      </c>
      <c r="C276" s="10" t="s">
        <v>45</v>
      </c>
      <c r="D276" s="10" t="s">
        <v>46</v>
      </c>
    </row>
    <row r="277" spans="1:4" x14ac:dyDescent="0.25">
      <c r="A277" s="11">
        <v>1050</v>
      </c>
      <c r="B277" s="10" t="s">
        <v>37</v>
      </c>
      <c r="C277" s="10" t="s">
        <v>45</v>
      </c>
      <c r="D277" s="10" t="s">
        <v>46</v>
      </c>
    </row>
    <row r="278" spans="1:4" x14ac:dyDescent="0.25">
      <c r="A278" s="11">
        <v>1050</v>
      </c>
      <c r="B278" s="10" t="s">
        <v>37</v>
      </c>
      <c r="C278" s="10" t="s">
        <v>45</v>
      </c>
      <c r="D278" s="10" t="s">
        <v>46</v>
      </c>
    </row>
    <row r="279" spans="1:4" x14ac:dyDescent="0.25">
      <c r="A279" s="11">
        <v>1050</v>
      </c>
      <c r="B279" s="10" t="s">
        <v>37</v>
      </c>
      <c r="C279" s="10" t="s">
        <v>45</v>
      </c>
      <c r="D279" s="10" t="s">
        <v>46</v>
      </c>
    </row>
    <row r="280" spans="1:4" x14ac:dyDescent="0.25">
      <c r="A280" s="11">
        <v>1050</v>
      </c>
      <c r="B280" s="10" t="s">
        <v>37</v>
      </c>
      <c r="C280" s="10" t="s">
        <v>45</v>
      </c>
      <c r="D280" s="10" t="s">
        <v>46</v>
      </c>
    </row>
    <row r="281" spans="1:4" x14ac:dyDescent="0.25">
      <c r="A281" s="11">
        <v>1050</v>
      </c>
      <c r="B281" s="10" t="s">
        <v>37</v>
      </c>
      <c r="C281" s="10" t="s">
        <v>45</v>
      </c>
      <c r="D281" s="10" t="s">
        <v>46</v>
      </c>
    </row>
    <row r="282" spans="1:4" x14ac:dyDescent="0.25">
      <c r="A282" s="11">
        <v>1050</v>
      </c>
      <c r="B282" s="10" t="s">
        <v>37</v>
      </c>
      <c r="C282" s="10" t="s">
        <v>45</v>
      </c>
      <c r="D282" s="10" t="s">
        <v>46</v>
      </c>
    </row>
    <row r="283" spans="1:4" x14ac:dyDescent="0.25">
      <c r="A283" s="11">
        <v>1050</v>
      </c>
      <c r="B283" s="10" t="s">
        <v>37</v>
      </c>
      <c r="C283" s="10" t="s">
        <v>45</v>
      </c>
      <c r="D283" s="10" t="s">
        <v>46</v>
      </c>
    </row>
    <row r="284" spans="1:4" x14ac:dyDescent="0.25">
      <c r="A284" s="11">
        <v>1050</v>
      </c>
      <c r="B284" s="10" t="s">
        <v>37</v>
      </c>
      <c r="C284" s="10" t="s">
        <v>45</v>
      </c>
      <c r="D284" s="10" t="s">
        <v>46</v>
      </c>
    </row>
    <row r="285" spans="1:4" x14ac:dyDescent="0.25">
      <c r="A285" s="11">
        <v>1050</v>
      </c>
      <c r="B285" s="10" t="s">
        <v>37</v>
      </c>
      <c r="C285" s="10" t="s">
        <v>45</v>
      </c>
      <c r="D285" s="10" t="s">
        <v>46</v>
      </c>
    </row>
    <row r="286" spans="1:4" x14ac:dyDescent="0.25">
      <c r="A286" s="11">
        <v>1050</v>
      </c>
      <c r="B286" s="10" t="s">
        <v>37</v>
      </c>
      <c r="C286" s="10" t="s">
        <v>45</v>
      </c>
      <c r="D286" s="10" t="s">
        <v>46</v>
      </c>
    </row>
    <row r="287" spans="1:4" x14ac:dyDescent="0.25">
      <c r="A287" s="11">
        <v>1050</v>
      </c>
      <c r="B287" s="10" t="s">
        <v>37</v>
      </c>
      <c r="C287" s="10" t="s">
        <v>45</v>
      </c>
      <c r="D287" s="10" t="s">
        <v>46</v>
      </c>
    </row>
    <row r="288" spans="1:4" x14ac:dyDescent="0.25">
      <c r="A288" s="11">
        <v>1050</v>
      </c>
      <c r="B288" s="10" t="s">
        <v>37</v>
      </c>
      <c r="C288" s="10" t="s">
        <v>45</v>
      </c>
      <c r="D288" s="10" t="s">
        <v>46</v>
      </c>
    </row>
    <row r="289" spans="1:4" x14ac:dyDescent="0.25">
      <c r="A289" s="11">
        <v>1050</v>
      </c>
      <c r="B289" s="10" t="s">
        <v>37</v>
      </c>
      <c r="C289" s="10" t="s">
        <v>45</v>
      </c>
      <c r="D289" s="10" t="s">
        <v>46</v>
      </c>
    </row>
    <row r="290" spans="1:4" x14ac:dyDescent="0.25">
      <c r="A290" s="11">
        <v>1050</v>
      </c>
      <c r="B290" s="10" t="s">
        <v>37</v>
      </c>
      <c r="C290" s="10" t="s">
        <v>45</v>
      </c>
      <c r="D290" s="10" t="s">
        <v>46</v>
      </c>
    </row>
    <row r="291" spans="1:4" x14ac:dyDescent="0.25">
      <c r="A291" s="11">
        <v>1050</v>
      </c>
      <c r="B291" s="10" t="s">
        <v>37</v>
      </c>
      <c r="C291" s="10" t="s">
        <v>45</v>
      </c>
      <c r="D291" s="10" t="s">
        <v>46</v>
      </c>
    </row>
    <row r="292" spans="1:4" x14ac:dyDescent="0.25">
      <c r="A292" s="11">
        <v>1050</v>
      </c>
      <c r="B292" s="10" t="s">
        <v>37</v>
      </c>
      <c r="C292" s="10" t="s">
        <v>45</v>
      </c>
      <c r="D292" s="10" t="s">
        <v>46</v>
      </c>
    </row>
    <row r="293" spans="1:4" x14ac:dyDescent="0.25">
      <c r="A293" s="11">
        <v>1050</v>
      </c>
      <c r="B293" s="10" t="s">
        <v>37</v>
      </c>
      <c r="C293" s="10" t="s">
        <v>45</v>
      </c>
      <c r="D293" s="10" t="s">
        <v>46</v>
      </c>
    </row>
    <row r="294" spans="1:4" x14ac:dyDescent="0.25">
      <c r="A294" s="11">
        <v>1050</v>
      </c>
      <c r="B294" s="10" t="s">
        <v>37</v>
      </c>
      <c r="C294" s="10" t="s">
        <v>45</v>
      </c>
      <c r="D294" s="10" t="s">
        <v>46</v>
      </c>
    </row>
    <row r="295" spans="1:4" x14ac:dyDescent="0.25">
      <c r="A295" s="11">
        <v>1050</v>
      </c>
      <c r="B295" s="10" t="s">
        <v>37</v>
      </c>
      <c r="C295" s="10" t="s">
        <v>45</v>
      </c>
      <c r="D295" s="10" t="s">
        <v>46</v>
      </c>
    </row>
    <row r="296" spans="1:4" x14ac:dyDescent="0.25">
      <c r="A296" s="11">
        <v>1050</v>
      </c>
      <c r="B296" s="10" t="s">
        <v>37</v>
      </c>
      <c r="C296" s="10" t="s">
        <v>45</v>
      </c>
      <c r="D296" s="10" t="s">
        <v>46</v>
      </c>
    </row>
    <row r="297" spans="1:4" x14ac:dyDescent="0.25">
      <c r="A297" s="11">
        <v>1050</v>
      </c>
      <c r="B297" s="10" t="s">
        <v>37</v>
      </c>
      <c r="C297" s="10" t="s">
        <v>45</v>
      </c>
      <c r="D297" s="10" t="s">
        <v>46</v>
      </c>
    </row>
    <row r="298" spans="1:4" x14ac:dyDescent="0.25">
      <c r="A298" s="11">
        <v>1050</v>
      </c>
      <c r="B298" s="10" t="s">
        <v>37</v>
      </c>
      <c r="C298" s="10" t="s">
        <v>45</v>
      </c>
      <c r="D298" s="10" t="s">
        <v>46</v>
      </c>
    </row>
    <row r="299" spans="1:4" x14ac:dyDescent="0.25">
      <c r="A299" s="11">
        <v>1050</v>
      </c>
      <c r="B299" s="10" t="s">
        <v>37</v>
      </c>
      <c r="C299" s="10" t="s">
        <v>45</v>
      </c>
      <c r="D299" s="10" t="s">
        <v>46</v>
      </c>
    </row>
    <row r="300" spans="1:4" x14ac:dyDescent="0.25">
      <c r="A300" s="11">
        <v>1050</v>
      </c>
      <c r="B300" s="10" t="s">
        <v>37</v>
      </c>
      <c r="C300" s="10" t="s">
        <v>45</v>
      </c>
      <c r="D300" s="10" t="s">
        <v>46</v>
      </c>
    </row>
    <row r="301" spans="1:4" x14ac:dyDescent="0.25">
      <c r="A301" s="11">
        <v>1050</v>
      </c>
      <c r="B301" s="10" t="s">
        <v>37</v>
      </c>
      <c r="C301" s="10" t="s">
        <v>45</v>
      </c>
      <c r="D301" s="10" t="s">
        <v>46</v>
      </c>
    </row>
    <row r="302" spans="1:4" x14ac:dyDescent="0.25">
      <c r="A302" s="11">
        <v>1050</v>
      </c>
      <c r="B302" s="10" t="s">
        <v>37</v>
      </c>
      <c r="C302" s="10" t="s">
        <v>45</v>
      </c>
      <c r="D302" s="10" t="s">
        <v>46</v>
      </c>
    </row>
    <row r="303" spans="1:4" x14ac:dyDescent="0.25">
      <c r="A303" s="11">
        <v>1050</v>
      </c>
      <c r="B303" s="10" t="s">
        <v>37</v>
      </c>
      <c r="C303" s="10" t="s">
        <v>45</v>
      </c>
      <c r="D303" s="10" t="s">
        <v>46</v>
      </c>
    </row>
    <row r="304" spans="1:4" x14ac:dyDescent="0.25">
      <c r="A304" s="11">
        <v>1050</v>
      </c>
      <c r="B304" s="10" t="s">
        <v>37</v>
      </c>
      <c r="C304" s="10" t="s">
        <v>45</v>
      </c>
      <c r="D304" s="10" t="s">
        <v>46</v>
      </c>
    </row>
    <row r="305" spans="1:4" x14ac:dyDescent="0.25">
      <c r="A305" s="11">
        <v>1050</v>
      </c>
      <c r="B305" s="10" t="s">
        <v>37</v>
      </c>
      <c r="C305" s="10" t="s">
        <v>45</v>
      </c>
      <c r="D305" s="10" t="s">
        <v>46</v>
      </c>
    </row>
    <row r="306" spans="1:4" x14ac:dyDescent="0.25">
      <c r="A306" s="11">
        <v>1050</v>
      </c>
      <c r="B306" s="10" t="s">
        <v>37</v>
      </c>
      <c r="C306" s="10" t="s">
        <v>45</v>
      </c>
      <c r="D306" s="10" t="s">
        <v>46</v>
      </c>
    </row>
    <row r="307" spans="1:4" x14ac:dyDescent="0.25">
      <c r="A307" s="11">
        <v>1050</v>
      </c>
      <c r="B307" s="10" t="s">
        <v>37</v>
      </c>
      <c r="C307" s="10" t="s">
        <v>45</v>
      </c>
      <c r="D307" s="10" t="s">
        <v>46</v>
      </c>
    </row>
    <row r="308" spans="1:4" x14ac:dyDescent="0.25">
      <c r="A308" s="11">
        <v>1050</v>
      </c>
      <c r="B308" s="10" t="s">
        <v>37</v>
      </c>
      <c r="C308" s="10" t="s">
        <v>45</v>
      </c>
      <c r="D308" s="10" t="s">
        <v>46</v>
      </c>
    </row>
    <row r="309" spans="1:4" x14ac:dyDescent="0.25">
      <c r="A309" s="11">
        <v>1050</v>
      </c>
      <c r="B309" s="10" t="s">
        <v>37</v>
      </c>
      <c r="C309" s="10" t="s">
        <v>45</v>
      </c>
      <c r="D309" s="10" t="s">
        <v>46</v>
      </c>
    </row>
    <row r="310" spans="1:4" x14ac:dyDescent="0.25">
      <c r="A310" s="11">
        <v>1050</v>
      </c>
      <c r="B310" s="10" t="s">
        <v>37</v>
      </c>
      <c r="C310" s="10" t="s">
        <v>45</v>
      </c>
      <c r="D310" s="10" t="s">
        <v>46</v>
      </c>
    </row>
    <row r="311" spans="1:4" x14ac:dyDescent="0.25">
      <c r="A311" s="11">
        <v>1050</v>
      </c>
      <c r="B311" s="10" t="s">
        <v>37</v>
      </c>
      <c r="C311" s="10" t="s">
        <v>45</v>
      </c>
      <c r="D311" s="10" t="s">
        <v>46</v>
      </c>
    </row>
    <row r="312" spans="1:4" x14ac:dyDescent="0.25">
      <c r="A312" s="11">
        <v>1050</v>
      </c>
      <c r="B312" s="10" t="s">
        <v>37</v>
      </c>
      <c r="C312" s="10" t="s">
        <v>45</v>
      </c>
      <c r="D312" s="10" t="s">
        <v>46</v>
      </c>
    </row>
    <row r="313" spans="1:4" x14ac:dyDescent="0.25">
      <c r="A313" s="11">
        <v>1050</v>
      </c>
      <c r="B313" s="10" t="s">
        <v>37</v>
      </c>
      <c r="C313" s="10" t="s">
        <v>45</v>
      </c>
      <c r="D313" s="10" t="s">
        <v>46</v>
      </c>
    </row>
    <row r="314" spans="1:4" x14ac:dyDescent="0.25">
      <c r="A314" s="11">
        <v>1050</v>
      </c>
      <c r="B314" s="10" t="s">
        <v>37</v>
      </c>
      <c r="C314" s="10" t="s">
        <v>45</v>
      </c>
      <c r="D314" s="10" t="s">
        <v>46</v>
      </c>
    </row>
    <row r="315" spans="1:4" x14ac:dyDescent="0.25">
      <c r="A315" s="11">
        <v>1050</v>
      </c>
      <c r="B315" s="10" t="s">
        <v>37</v>
      </c>
      <c r="C315" s="10" t="s">
        <v>45</v>
      </c>
      <c r="D315" s="10" t="s">
        <v>46</v>
      </c>
    </row>
    <row r="316" spans="1:4" x14ac:dyDescent="0.25">
      <c r="A316" s="11">
        <v>1050</v>
      </c>
      <c r="B316" s="10" t="s">
        <v>37</v>
      </c>
      <c r="C316" s="10" t="s">
        <v>45</v>
      </c>
      <c r="D316" s="10" t="s">
        <v>46</v>
      </c>
    </row>
    <row r="317" spans="1:4" x14ac:dyDescent="0.25">
      <c r="A317" s="11">
        <v>1050</v>
      </c>
      <c r="B317" s="10" t="s">
        <v>37</v>
      </c>
      <c r="C317" s="10" t="s">
        <v>45</v>
      </c>
      <c r="D317" s="10" t="s">
        <v>46</v>
      </c>
    </row>
    <row r="318" spans="1:4" x14ac:dyDescent="0.25">
      <c r="A318" s="11">
        <v>1050</v>
      </c>
      <c r="B318" s="10" t="s">
        <v>37</v>
      </c>
      <c r="C318" s="10" t="s">
        <v>45</v>
      </c>
      <c r="D318" s="10" t="s">
        <v>46</v>
      </c>
    </row>
    <row r="319" spans="1:4" x14ac:dyDescent="0.25">
      <c r="A319" s="11">
        <v>1050</v>
      </c>
      <c r="B319" s="10" t="s">
        <v>37</v>
      </c>
      <c r="C319" s="10" t="s">
        <v>45</v>
      </c>
      <c r="D319" s="10" t="s">
        <v>46</v>
      </c>
    </row>
    <row r="320" spans="1:4" x14ac:dyDescent="0.25">
      <c r="A320" s="11">
        <v>1050</v>
      </c>
      <c r="B320" s="10" t="s">
        <v>37</v>
      </c>
      <c r="C320" s="10" t="s">
        <v>45</v>
      </c>
      <c r="D320" s="10" t="s">
        <v>46</v>
      </c>
    </row>
    <row r="321" spans="1:4" x14ac:dyDescent="0.25">
      <c r="A321" s="11">
        <v>1050</v>
      </c>
      <c r="B321" s="10" t="s">
        <v>37</v>
      </c>
      <c r="C321" s="10" t="s">
        <v>45</v>
      </c>
      <c r="D321" s="10" t="s">
        <v>46</v>
      </c>
    </row>
    <row r="322" spans="1:4" x14ac:dyDescent="0.25">
      <c r="A322" s="11">
        <v>1050</v>
      </c>
      <c r="B322" s="10" t="s">
        <v>37</v>
      </c>
      <c r="C322" s="10" t="s">
        <v>45</v>
      </c>
      <c r="D322" s="10" t="s">
        <v>46</v>
      </c>
    </row>
    <row r="323" spans="1:4" x14ac:dyDescent="0.25">
      <c r="A323" s="11">
        <v>1050</v>
      </c>
      <c r="B323" s="10" t="s">
        <v>37</v>
      </c>
      <c r="C323" s="10" t="s">
        <v>45</v>
      </c>
      <c r="D323" s="10" t="s">
        <v>46</v>
      </c>
    </row>
    <row r="324" spans="1:4" x14ac:dyDescent="0.25">
      <c r="A324" s="11">
        <v>1050</v>
      </c>
      <c r="B324" s="10" t="s">
        <v>37</v>
      </c>
      <c r="C324" s="10" t="s">
        <v>45</v>
      </c>
      <c r="D324" s="10" t="s">
        <v>46</v>
      </c>
    </row>
    <row r="325" spans="1:4" x14ac:dyDescent="0.25">
      <c r="A325" s="11">
        <v>1050</v>
      </c>
      <c r="B325" s="10" t="s">
        <v>37</v>
      </c>
      <c r="C325" s="10" t="s">
        <v>45</v>
      </c>
      <c r="D325" s="10" t="s">
        <v>46</v>
      </c>
    </row>
    <row r="326" spans="1:4" x14ac:dyDescent="0.25">
      <c r="A326" s="11">
        <v>1050</v>
      </c>
      <c r="B326" s="10" t="s">
        <v>37</v>
      </c>
      <c r="C326" s="10" t="s">
        <v>45</v>
      </c>
      <c r="D326" s="10" t="s">
        <v>46</v>
      </c>
    </row>
    <row r="327" spans="1:4" x14ac:dyDescent="0.25">
      <c r="A327" s="11">
        <v>1050</v>
      </c>
      <c r="B327" s="10" t="s">
        <v>37</v>
      </c>
      <c r="C327" s="10" t="s">
        <v>45</v>
      </c>
      <c r="D327" s="10" t="s">
        <v>46</v>
      </c>
    </row>
    <row r="328" spans="1:4" x14ac:dyDescent="0.25">
      <c r="A328" s="11">
        <v>1050</v>
      </c>
      <c r="B328" s="10" t="s">
        <v>37</v>
      </c>
      <c r="C328" s="10" t="s">
        <v>45</v>
      </c>
      <c r="D328" s="10" t="s">
        <v>46</v>
      </c>
    </row>
    <row r="329" spans="1:4" x14ac:dyDescent="0.25">
      <c r="A329" s="11">
        <v>1050</v>
      </c>
      <c r="B329" s="10" t="s">
        <v>37</v>
      </c>
      <c r="C329" s="10" t="s">
        <v>45</v>
      </c>
      <c r="D329" s="10" t="s">
        <v>46</v>
      </c>
    </row>
    <row r="330" spans="1:4" x14ac:dyDescent="0.25">
      <c r="A330" s="11">
        <v>1050</v>
      </c>
      <c r="B330" s="10" t="s">
        <v>37</v>
      </c>
      <c r="C330" s="10" t="s">
        <v>45</v>
      </c>
      <c r="D330" s="10" t="s">
        <v>46</v>
      </c>
    </row>
    <row r="331" spans="1:4" x14ac:dyDescent="0.25">
      <c r="A331" s="11">
        <v>1050</v>
      </c>
      <c r="B331" s="10" t="s">
        <v>37</v>
      </c>
      <c r="C331" s="10" t="s">
        <v>45</v>
      </c>
      <c r="D331" s="10" t="s">
        <v>46</v>
      </c>
    </row>
    <row r="332" spans="1:4" x14ac:dyDescent="0.25">
      <c r="A332" s="11">
        <v>1050</v>
      </c>
      <c r="B332" s="10" t="s">
        <v>37</v>
      </c>
      <c r="C332" s="10" t="s">
        <v>45</v>
      </c>
      <c r="D332" s="10" t="s">
        <v>46</v>
      </c>
    </row>
    <row r="333" spans="1:4" x14ac:dyDescent="0.25">
      <c r="A333" s="11">
        <v>1050</v>
      </c>
      <c r="B333" s="10" t="s">
        <v>37</v>
      </c>
      <c r="C333" s="10" t="s">
        <v>45</v>
      </c>
      <c r="D333" s="10" t="s">
        <v>46</v>
      </c>
    </row>
    <row r="334" spans="1:4" x14ac:dyDescent="0.25">
      <c r="A334" s="11">
        <v>1050</v>
      </c>
      <c r="B334" s="10" t="s">
        <v>37</v>
      </c>
      <c r="C334" s="10" t="s">
        <v>45</v>
      </c>
      <c r="D334" s="10" t="s">
        <v>46</v>
      </c>
    </row>
    <row r="335" spans="1:4" x14ac:dyDescent="0.25">
      <c r="A335" s="11">
        <v>1050</v>
      </c>
      <c r="B335" s="10" t="s">
        <v>37</v>
      </c>
      <c r="C335" s="10" t="s">
        <v>45</v>
      </c>
      <c r="D335" s="10" t="s">
        <v>46</v>
      </c>
    </row>
    <row r="336" spans="1:4" x14ac:dyDescent="0.25">
      <c r="A336" s="11">
        <v>1050</v>
      </c>
      <c r="B336" s="10" t="s">
        <v>37</v>
      </c>
      <c r="C336" s="10" t="s">
        <v>45</v>
      </c>
      <c r="D336" s="10" t="s">
        <v>46</v>
      </c>
    </row>
    <row r="337" spans="1:4" x14ac:dyDescent="0.25">
      <c r="A337" s="11">
        <v>1050</v>
      </c>
      <c r="B337" s="10" t="s">
        <v>37</v>
      </c>
      <c r="C337" s="10" t="s">
        <v>45</v>
      </c>
      <c r="D337" s="10" t="s">
        <v>46</v>
      </c>
    </row>
    <row r="338" spans="1:4" x14ac:dyDescent="0.25">
      <c r="A338" s="11">
        <v>1050</v>
      </c>
      <c r="B338" s="10" t="s">
        <v>37</v>
      </c>
      <c r="C338" s="10" t="s">
        <v>45</v>
      </c>
      <c r="D338" s="10" t="s">
        <v>46</v>
      </c>
    </row>
    <row r="339" spans="1:4" x14ac:dyDescent="0.25">
      <c r="A339" s="11">
        <v>1050</v>
      </c>
      <c r="B339" s="10" t="s">
        <v>37</v>
      </c>
      <c r="C339" s="10" t="s">
        <v>45</v>
      </c>
      <c r="D339" s="10" t="s">
        <v>46</v>
      </c>
    </row>
    <row r="340" spans="1:4" x14ac:dyDescent="0.25">
      <c r="A340" s="11">
        <v>1050</v>
      </c>
      <c r="B340" s="10" t="s">
        <v>37</v>
      </c>
      <c r="C340" s="10" t="s">
        <v>45</v>
      </c>
      <c r="D340" s="10" t="s">
        <v>46</v>
      </c>
    </row>
    <row r="341" spans="1:4" x14ac:dyDescent="0.25">
      <c r="A341" s="11">
        <v>1050</v>
      </c>
      <c r="B341" s="10" t="s">
        <v>37</v>
      </c>
      <c r="C341" s="10" t="s">
        <v>45</v>
      </c>
      <c r="D341" s="10" t="s">
        <v>46</v>
      </c>
    </row>
    <row r="342" spans="1:4" x14ac:dyDescent="0.25">
      <c r="A342" s="11">
        <v>1050</v>
      </c>
      <c r="B342" s="10" t="s">
        <v>37</v>
      </c>
      <c r="C342" s="10" t="s">
        <v>45</v>
      </c>
      <c r="D342" s="10" t="s">
        <v>46</v>
      </c>
    </row>
    <row r="343" spans="1:4" x14ac:dyDescent="0.25">
      <c r="A343" s="11">
        <v>1050</v>
      </c>
      <c r="B343" s="10" t="s">
        <v>37</v>
      </c>
      <c r="C343" s="10" t="s">
        <v>45</v>
      </c>
      <c r="D343" s="10" t="s">
        <v>46</v>
      </c>
    </row>
    <row r="344" spans="1:4" x14ac:dyDescent="0.25">
      <c r="A344" s="11">
        <v>1050</v>
      </c>
      <c r="B344" s="10" t="s">
        <v>37</v>
      </c>
      <c r="C344" s="10" t="s">
        <v>45</v>
      </c>
      <c r="D344" s="10" t="s">
        <v>46</v>
      </c>
    </row>
    <row r="345" spans="1:4" x14ac:dyDescent="0.25">
      <c r="A345" s="11">
        <v>1050</v>
      </c>
      <c r="B345" s="10" t="s">
        <v>37</v>
      </c>
      <c r="C345" s="10" t="s">
        <v>45</v>
      </c>
      <c r="D345" s="10" t="s">
        <v>46</v>
      </c>
    </row>
    <row r="346" spans="1:4" x14ac:dyDescent="0.25">
      <c r="A346" s="11">
        <v>1050</v>
      </c>
      <c r="B346" s="10" t="s">
        <v>37</v>
      </c>
      <c r="C346" s="10" t="s">
        <v>45</v>
      </c>
      <c r="D346" s="10" t="s">
        <v>46</v>
      </c>
    </row>
    <row r="347" spans="1:4" x14ac:dyDescent="0.25">
      <c r="A347" s="11">
        <v>1050</v>
      </c>
      <c r="B347" s="10" t="s">
        <v>37</v>
      </c>
      <c r="C347" s="10" t="s">
        <v>45</v>
      </c>
      <c r="D347" s="10" t="s">
        <v>46</v>
      </c>
    </row>
    <row r="348" spans="1:4" x14ac:dyDescent="0.25">
      <c r="A348" s="11">
        <v>1050</v>
      </c>
      <c r="B348" s="10" t="s">
        <v>37</v>
      </c>
      <c r="C348" s="10" t="s">
        <v>45</v>
      </c>
      <c r="D348" s="10" t="s">
        <v>46</v>
      </c>
    </row>
    <row r="349" spans="1:4" x14ac:dyDescent="0.25">
      <c r="A349" s="11">
        <v>1050</v>
      </c>
      <c r="B349" s="10" t="s">
        <v>37</v>
      </c>
      <c r="C349" s="10" t="s">
        <v>45</v>
      </c>
      <c r="D349" s="10" t="s">
        <v>46</v>
      </c>
    </row>
    <row r="350" spans="1:4" x14ac:dyDescent="0.25">
      <c r="A350" s="11">
        <v>1050</v>
      </c>
      <c r="B350" s="10" t="s">
        <v>37</v>
      </c>
      <c r="C350" s="10" t="s">
        <v>45</v>
      </c>
      <c r="D350" s="10" t="s">
        <v>46</v>
      </c>
    </row>
    <row r="351" spans="1:4" x14ac:dyDescent="0.25">
      <c r="A351" s="11">
        <v>1050</v>
      </c>
      <c r="B351" s="10" t="s">
        <v>37</v>
      </c>
      <c r="C351" s="10" t="s">
        <v>45</v>
      </c>
      <c r="D351" s="10" t="s">
        <v>46</v>
      </c>
    </row>
    <row r="352" spans="1:4" x14ac:dyDescent="0.25">
      <c r="A352" s="11">
        <v>1050</v>
      </c>
      <c r="B352" s="10" t="s">
        <v>37</v>
      </c>
      <c r="C352" s="10" t="s">
        <v>45</v>
      </c>
      <c r="D352" s="10" t="s">
        <v>46</v>
      </c>
    </row>
    <row r="353" spans="1:4" x14ac:dyDescent="0.25">
      <c r="A353" s="11">
        <v>1050</v>
      </c>
      <c r="B353" s="10" t="s">
        <v>37</v>
      </c>
      <c r="C353" s="10" t="s">
        <v>45</v>
      </c>
      <c r="D353" s="10" t="s">
        <v>46</v>
      </c>
    </row>
    <row r="354" spans="1:4" x14ac:dyDescent="0.25">
      <c r="A354" s="11">
        <v>1050</v>
      </c>
      <c r="B354" s="10" t="s">
        <v>37</v>
      </c>
      <c r="C354" s="10" t="s">
        <v>45</v>
      </c>
      <c r="D354" s="10" t="s">
        <v>46</v>
      </c>
    </row>
    <row r="355" spans="1:4" x14ac:dyDescent="0.25">
      <c r="A355" s="11">
        <v>1050</v>
      </c>
      <c r="B355" s="10" t="s">
        <v>37</v>
      </c>
      <c r="C355" s="10" t="s">
        <v>45</v>
      </c>
      <c r="D355" s="10" t="s">
        <v>46</v>
      </c>
    </row>
    <row r="356" spans="1:4" x14ac:dyDescent="0.25">
      <c r="A356" s="11">
        <v>1050</v>
      </c>
      <c r="B356" s="10" t="s">
        <v>37</v>
      </c>
      <c r="C356" s="10" t="s">
        <v>45</v>
      </c>
      <c r="D356" s="10" t="s">
        <v>46</v>
      </c>
    </row>
    <row r="357" spans="1:4" x14ac:dyDescent="0.25">
      <c r="A357" s="11">
        <v>1050</v>
      </c>
      <c r="B357" s="10" t="s">
        <v>37</v>
      </c>
      <c r="C357" s="10" t="s">
        <v>45</v>
      </c>
      <c r="D357" s="10" t="s">
        <v>46</v>
      </c>
    </row>
    <row r="358" spans="1:4" x14ac:dyDescent="0.25">
      <c r="A358" s="11">
        <v>1050</v>
      </c>
      <c r="B358" s="10" t="s">
        <v>37</v>
      </c>
      <c r="C358" s="10" t="s">
        <v>45</v>
      </c>
      <c r="D358" s="10" t="s">
        <v>46</v>
      </c>
    </row>
    <row r="359" spans="1:4" x14ac:dyDescent="0.25">
      <c r="A359" s="11">
        <v>1050</v>
      </c>
      <c r="B359" s="10" t="s">
        <v>37</v>
      </c>
      <c r="C359" s="10" t="s">
        <v>45</v>
      </c>
      <c r="D359" s="10" t="s">
        <v>46</v>
      </c>
    </row>
    <row r="360" spans="1:4" x14ac:dyDescent="0.25">
      <c r="A360" s="11">
        <v>1050</v>
      </c>
      <c r="B360" s="10" t="s">
        <v>37</v>
      </c>
      <c r="C360" s="10" t="s">
        <v>45</v>
      </c>
      <c r="D360" s="10" t="s">
        <v>46</v>
      </c>
    </row>
    <row r="361" spans="1:4" x14ac:dyDescent="0.25">
      <c r="A361" s="11">
        <v>1050</v>
      </c>
      <c r="B361" s="10" t="s">
        <v>37</v>
      </c>
      <c r="C361" s="10" t="s">
        <v>45</v>
      </c>
      <c r="D361" s="10" t="s">
        <v>46</v>
      </c>
    </row>
    <row r="362" spans="1:4" x14ac:dyDescent="0.25">
      <c r="A362" s="11">
        <v>1050</v>
      </c>
      <c r="B362" s="10" t="s">
        <v>37</v>
      </c>
      <c r="C362" s="10" t="s">
        <v>45</v>
      </c>
      <c r="D362" s="10" t="s">
        <v>46</v>
      </c>
    </row>
    <row r="363" spans="1:4" x14ac:dyDescent="0.25">
      <c r="A363" s="11">
        <v>1050</v>
      </c>
      <c r="B363" s="10" t="s">
        <v>37</v>
      </c>
      <c r="C363" s="10" t="s">
        <v>45</v>
      </c>
      <c r="D363" s="10" t="s">
        <v>46</v>
      </c>
    </row>
    <row r="364" spans="1:4" x14ac:dyDescent="0.25">
      <c r="A364" s="11">
        <v>1050</v>
      </c>
      <c r="B364" s="10" t="s">
        <v>37</v>
      </c>
      <c r="C364" s="10" t="s">
        <v>45</v>
      </c>
      <c r="D364" s="10" t="s">
        <v>46</v>
      </c>
    </row>
    <row r="365" spans="1:4" x14ac:dyDescent="0.25">
      <c r="A365" s="11">
        <v>1050</v>
      </c>
      <c r="B365" s="10" t="s">
        <v>37</v>
      </c>
      <c r="C365" s="10" t="s">
        <v>45</v>
      </c>
      <c r="D365" s="10" t="s">
        <v>46</v>
      </c>
    </row>
    <row r="366" spans="1:4" x14ac:dyDescent="0.25">
      <c r="A366" s="11">
        <v>1050</v>
      </c>
      <c r="B366" s="10" t="s">
        <v>37</v>
      </c>
      <c r="C366" s="10" t="s">
        <v>45</v>
      </c>
      <c r="D366" s="10" t="s">
        <v>46</v>
      </c>
    </row>
    <row r="367" spans="1:4" x14ac:dyDescent="0.25">
      <c r="A367" s="11">
        <v>1050</v>
      </c>
      <c r="B367" s="10" t="s">
        <v>37</v>
      </c>
      <c r="C367" s="10" t="s">
        <v>45</v>
      </c>
      <c r="D367" s="10" t="s">
        <v>46</v>
      </c>
    </row>
    <row r="368" spans="1:4" x14ac:dyDescent="0.25">
      <c r="A368" s="11">
        <v>1050</v>
      </c>
      <c r="B368" s="10" t="s">
        <v>37</v>
      </c>
      <c r="C368" s="10" t="s">
        <v>45</v>
      </c>
      <c r="D368" s="10" t="s">
        <v>46</v>
      </c>
    </row>
    <row r="369" spans="1:4" x14ac:dyDescent="0.25">
      <c r="A369" s="11">
        <v>1050</v>
      </c>
      <c r="B369" s="10" t="s">
        <v>37</v>
      </c>
      <c r="C369" s="10" t="s">
        <v>45</v>
      </c>
      <c r="D369" s="10" t="s">
        <v>46</v>
      </c>
    </row>
    <row r="370" spans="1:4" x14ac:dyDescent="0.25">
      <c r="A370" s="11">
        <v>1050</v>
      </c>
      <c r="B370" s="10" t="s">
        <v>37</v>
      </c>
      <c r="C370" s="10" t="s">
        <v>45</v>
      </c>
      <c r="D370" s="10" t="s">
        <v>46</v>
      </c>
    </row>
    <row r="371" spans="1:4" x14ac:dyDescent="0.25">
      <c r="A371" s="11">
        <v>1050</v>
      </c>
      <c r="B371" s="10" t="s">
        <v>37</v>
      </c>
      <c r="C371" s="10" t="s">
        <v>45</v>
      </c>
      <c r="D371" s="10" t="s">
        <v>46</v>
      </c>
    </row>
    <row r="372" spans="1:4" x14ac:dyDescent="0.25">
      <c r="A372" s="11">
        <v>1050</v>
      </c>
      <c r="B372" s="10" t="s">
        <v>37</v>
      </c>
      <c r="C372" s="10" t="s">
        <v>45</v>
      </c>
      <c r="D372" s="10" t="s">
        <v>46</v>
      </c>
    </row>
    <row r="373" spans="1:4" x14ac:dyDescent="0.25">
      <c r="A373" s="11">
        <v>1050</v>
      </c>
      <c r="B373" s="10" t="s">
        <v>37</v>
      </c>
      <c r="C373" s="10" t="s">
        <v>45</v>
      </c>
      <c r="D373" s="10" t="s">
        <v>46</v>
      </c>
    </row>
    <row r="374" spans="1:4" x14ac:dyDescent="0.25">
      <c r="A374" s="11">
        <v>1050</v>
      </c>
      <c r="B374" s="10" t="s">
        <v>37</v>
      </c>
      <c r="C374" s="10" t="s">
        <v>45</v>
      </c>
      <c r="D374" s="10" t="s">
        <v>46</v>
      </c>
    </row>
    <row r="375" spans="1:4" x14ac:dyDescent="0.25">
      <c r="A375" s="11">
        <v>1050</v>
      </c>
      <c r="B375" s="10" t="s">
        <v>37</v>
      </c>
      <c r="C375" s="10" t="s">
        <v>45</v>
      </c>
      <c r="D375" s="10" t="s">
        <v>46</v>
      </c>
    </row>
    <row r="376" spans="1:4" x14ac:dyDescent="0.25">
      <c r="A376" s="11">
        <v>1050</v>
      </c>
      <c r="B376" s="10" t="s">
        <v>37</v>
      </c>
      <c r="C376" s="10" t="s">
        <v>45</v>
      </c>
      <c r="D376" s="10" t="s">
        <v>46</v>
      </c>
    </row>
    <row r="377" spans="1:4" x14ac:dyDescent="0.25">
      <c r="A377" s="11">
        <v>1050</v>
      </c>
      <c r="B377" s="10" t="s">
        <v>37</v>
      </c>
      <c r="C377" s="10" t="s">
        <v>45</v>
      </c>
      <c r="D377" s="10" t="s">
        <v>46</v>
      </c>
    </row>
    <row r="378" spans="1:4" x14ac:dyDescent="0.25">
      <c r="A378" s="11">
        <v>1050</v>
      </c>
      <c r="B378" s="10" t="s">
        <v>37</v>
      </c>
      <c r="C378" s="10" t="s">
        <v>45</v>
      </c>
      <c r="D378" s="10" t="s">
        <v>46</v>
      </c>
    </row>
    <row r="379" spans="1:4" x14ac:dyDescent="0.25">
      <c r="A379" s="11">
        <v>1050</v>
      </c>
      <c r="B379" s="10" t="s">
        <v>37</v>
      </c>
      <c r="C379" s="10" t="s">
        <v>45</v>
      </c>
      <c r="D379" s="10" t="s">
        <v>46</v>
      </c>
    </row>
    <row r="380" spans="1:4" x14ac:dyDescent="0.25">
      <c r="A380" s="11">
        <v>1050</v>
      </c>
      <c r="B380" s="10" t="s">
        <v>37</v>
      </c>
      <c r="C380" s="10" t="s">
        <v>45</v>
      </c>
      <c r="D380" s="10" t="s">
        <v>46</v>
      </c>
    </row>
    <row r="381" spans="1:4" x14ac:dyDescent="0.25">
      <c r="A381" s="11">
        <v>1050</v>
      </c>
      <c r="B381" s="10" t="s">
        <v>37</v>
      </c>
      <c r="C381" s="10" t="s">
        <v>45</v>
      </c>
      <c r="D381" s="10" t="s">
        <v>46</v>
      </c>
    </row>
    <row r="382" spans="1:4" x14ac:dyDescent="0.25">
      <c r="A382" s="11">
        <v>1050</v>
      </c>
      <c r="B382" s="10" t="s">
        <v>37</v>
      </c>
      <c r="C382" s="10" t="s">
        <v>45</v>
      </c>
      <c r="D382" s="10" t="s">
        <v>46</v>
      </c>
    </row>
    <row r="383" spans="1:4" x14ac:dyDescent="0.25">
      <c r="A383" s="11">
        <v>1050</v>
      </c>
      <c r="B383" s="10" t="s">
        <v>37</v>
      </c>
      <c r="C383" s="10" t="s">
        <v>45</v>
      </c>
      <c r="D383" s="10" t="s">
        <v>46</v>
      </c>
    </row>
    <row r="384" spans="1:4" x14ac:dyDescent="0.25">
      <c r="A384" s="11">
        <v>1050</v>
      </c>
      <c r="B384" s="10" t="s">
        <v>37</v>
      </c>
      <c r="C384" s="10" t="s">
        <v>45</v>
      </c>
      <c r="D384" s="10" t="s">
        <v>46</v>
      </c>
    </row>
    <row r="385" spans="1:4" x14ac:dyDescent="0.25">
      <c r="A385" s="11">
        <v>1050</v>
      </c>
      <c r="B385" s="10" t="s">
        <v>37</v>
      </c>
      <c r="C385" s="10" t="s">
        <v>45</v>
      </c>
      <c r="D385" s="10" t="s">
        <v>46</v>
      </c>
    </row>
    <row r="386" spans="1:4" x14ac:dyDescent="0.25">
      <c r="A386" s="11">
        <v>1050</v>
      </c>
      <c r="B386" s="10" t="s">
        <v>37</v>
      </c>
      <c r="C386" s="10" t="s">
        <v>45</v>
      </c>
      <c r="D386" s="10" t="s">
        <v>46</v>
      </c>
    </row>
    <row r="387" spans="1:4" x14ac:dyDescent="0.25">
      <c r="A387" s="11">
        <v>1050</v>
      </c>
      <c r="B387" s="10" t="s">
        <v>37</v>
      </c>
      <c r="C387" s="10" t="s">
        <v>45</v>
      </c>
      <c r="D387" s="10" t="s">
        <v>46</v>
      </c>
    </row>
    <row r="388" spans="1:4" x14ac:dyDescent="0.25">
      <c r="A388" s="11">
        <v>1050</v>
      </c>
      <c r="B388" s="10" t="s">
        <v>37</v>
      </c>
      <c r="C388" s="10" t="s">
        <v>45</v>
      </c>
      <c r="D388" s="10" t="s">
        <v>46</v>
      </c>
    </row>
    <row r="389" spans="1:4" x14ac:dyDescent="0.25">
      <c r="A389" s="11">
        <v>1050</v>
      </c>
      <c r="B389" s="10" t="s">
        <v>37</v>
      </c>
      <c r="C389" s="10" t="s">
        <v>45</v>
      </c>
      <c r="D389" s="10" t="s">
        <v>46</v>
      </c>
    </row>
    <row r="390" spans="1:4" x14ac:dyDescent="0.25">
      <c r="A390" s="11">
        <v>1050</v>
      </c>
      <c r="B390" s="10" t="s">
        <v>37</v>
      </c>
      <c r="C390" s="10" t="s">
        <v>45</v>
      </c>
      <c r="D390" s="10" t="s">
        <v>46</v>
      </c>
    </row>
    <row r="391" spans="1:4" x14ac:dyDescent="0.25">
      <c r="A391" s="11">
        <v>1050</v>
      </c>
      <c r="B391" s="10" t="s">
        <v>37</v>
      </c>
      <c r="C391" s="10" t="s">
        <v>45</v>
      </c>
      <c r="D391" s="10" t="s">
        <v>46</v>
      </c>
    </row>
    <row r="392" spans="1:4" x14ac:dyDescent="0.25">
      <c r="A392" s="11">
        <v>1050</v>
      </c>
      <c r="B392" s="10" t="s">
        <v>37</v>
      </c>
      <c r="C392" s="10" t="s">
        <v>45</v>
      </c>
      <c r="D392" s="10" t="s">
        <v>46</v>
      </c>
    </row>
    <row r="393" spans="1:4" x14ac:dyDescent="0.25">
      <c r="A393" s="11">
        <v>1050</v>
      </c>
      <c r="B393" s="10" t="s">
        <v>37</v>
      </c>
      <c r="C393" s="10" t="s">
        <v>45</v>
      </c>
      <c r="D393" s="10" t="s">
        <v>46</v>
      </c>
    </row>
    <row r="394" spans="1:4" x14ac:dyDescent="0.25">
      <c r="A394" s="11">
        <v>1050</v>
      </c>
      <c r="B394" s="10" t="s">
        <v>37</v>
      </c>
      <c r="C394" s="10" t="s">
        <v>45</v>
      </c>
      <c r="D394" s="10" t="s">
        <v>46</v>
      </c>
    </row>
    <row r="395" spans="1:4" x14ac:dyDescent="0.25">
      <c r="A395" s="11">
        <v>1050</v>
      </c>
      <c r="B395" s="10" t="s">
        <v>37</v>
      </c>
      <c r="C395" s="10" t="s">
        <v>45</v>
      </c>
      <c r="D395" s="10" t="s">
        <v>46</v>
      </c>
    </row>
    <row r="396" spans="1:4" x14ac:dyDescent="0.25">
      <c r="A396" s="11">
        <v>1050</v>
      </c>
      <c r="B396" s="10" t="s">
        <v>37</v>
      </c>
      <c r="C396" s="10" t="s">
        <v>45</v>
      </c>
      <c r="D396" s="10" t="s">
        <v>46</v>
      </c>
    </row>
    <row r="397" spans="1:4" x14ac:dyDescent="0.25">
      <c r="A397" s="11">
        <v>1050</v>
      </c>
      <c r="B397" s="10" t="s">
        <v>37</v>
      </c>
      <c r="C397" s="10" t="s">
        <v>45</v>
      </c>
      <c r="D397" s="10" t="s">
        <v>46</v>
      </c>
    </row>
    <row r="398" spans="1:4" x14ac:dyDescent="0.25">
      <c r="A398" s="11">
        <v>1050</v>
      </c>
      <c r="B398" s="10" t="s">
        <v>37</v>
      </c>
      <c r="C398" s="10" t="s">
        <v>45</v>
      </c>
      <c r="D398" s="10" t="s">
        <v>46</v>
      </c>
    </row>
    <row r="399" spans="1:4" x14ac:dyDescent="0.25">
      <c r="A399" s="11">
        <v>1050</v>
      </c>
      <c r="B399" s="10" t="s">
        <v>37</v>
      </c>
      <c r="C399" s="10" t="s">
        <v>45</v>
      </c>
      <c r="D399" s="10" t="s">
        <v>46</v>
      </c>
    </row>
    <row r="400" spans="1:4" x14ac:dyDescent="0.25">
      <c r="A400" s="11">
        <v>1050</v>
      </c>
      <c r="B400" s="10" t="s">
        <v>37</v>
      </c>
      <c r="C400" s="10" t="s">
        <v>45</v>
      </c>
      <c r="D400" s="10" t="s">
        <v>46</v>
      </c>
    </row>
    <row r="401" spans="1:4" x14ac:dyDescent="0.25">
      <c r="A401" s="11">
        <v>1050</v>
      </c>
      <c r="B401" s="10" t="s">
        <v>37</v>
      </c>
      <c r="C401" s="10" t="s">
        <v>45</v>
      </c>
      <c r="D401" s="10" t="s">
        <v>46</v>
      </c>
    </row>
    <row r="402" spans="1:4" x14ac:dyDescent="0.25">
      <c r="A402" s="11">
        <v>1050</v>
      </c>
      <c r="B402" s="10" t="s">
        <v>37</v>
      </c>
      <c r="C402" s="10" t="s">
        <v>45</v>
      </c>
      <c r="D402" s="10" t="s">
        <v>46</v>
      </c>
    </row>
    <row r="403" spans="1:4" x14ac:dyDescent="0.25">
      <c r="A403" s="11">
        <v>1050</v>
      </c>
      <c r="B403" s="10" t="s">
        <v>37</v>
      </c>
      <c r="C403" s="10" t="s">
        <v>45</v>
      </c>
      <c r="D403" s="10" t="s">
        <v>46</v>
      </c>
    </row>
    <row r="404" spans="1:4" x14ac:dyDescent="0.25">
      <c r="A404" s="11">
        <v>1050</v>
      </c>
      <c r="B404" s="10" t="s">
        <v>37</v>
      </c>
      <c r="C404" s="10" t="s">
        <v>45</v>
      </c>
      <c r="D404" s="10" t="s">
        <v>46</v>
      </c>
    </row>
    <row r="405" spans="1:4" x14ac:dyDescent="0.25">
      <c r="A405" s="11">
        <v>1050</v>
      </c>
      <c r="B405" s="10" t="s">
        <v>37</v>
      </c>
      <c r="C405" s="10" t="s">
        <v>45</v>
      </c>
      <c r="D405" s="10" t="s">
        <v>46</v>
      </c>
    </row>
    <row r="406" spans="1:4" x14ac:dyDescent="0.25">
      <c r="A406" s="11">
        <v>1050</v>
      </c>
      <c r="B406" s="10" t="s">
        <v>37</v>
      </c>
      <c r="C406" s="10" t="s">
        <v>45</v>
      </c>
      <c r="D406" s="10" t="s">
        <v>46</v>
      </c>
    </row>
    <row r="407" spans="1:4" x14ac:dyDescent="0.25">
      <c r="A407" s="11">
        <v>1050</v>
      </c>
      <c r="B407" s="10" t="s">
        <v>37</v>
      </c>
      <c r="C407" s="10" t="s">
        <v>45</v>
      </c>
      <c r="D407" s="10" t="s">
        <v>46</v>
      </c>
    </row>
    <row r="408" spans="1:4" x14ac:dyDescent="0.25">
      <c r="A408" s="11">
        <v>1050</v>
      </c>
      <c r="B408" s="10" t="s">
        <v>37</v>
      </c>
      <c r="C408" s="10" t="s">
        <v>45</v>
      </c>
      <c r="D408" s="10" t="s">
        <v>46</v>
      </c>
    </row>
    <row r="409" spans="1:4" x14ac:dyDescent="0.25">
      <c r="A409" s="11">
        <v>1050</v>
      </c>
      <c r="B409" s="10" t="s">
        <v>37</v>
      </c>
      <c r="C409" s="10" t="s">
        <v>45</v>
      </c>
      <c r="D409" s="10" t="s">
        <v>46</v>
      </c>
    </row>
    <row r="410" spans="1:4" x14ac:dyDescent="0.25">
      <c r="A410" s="11">
        <v>1050</v>
      </c>
      <c r="B410" s="10" t="s">
        <v>37</v>
      </c>
      <c r="C410" s="10" t="s">
        <v>45</v>
      </c>
      <c r="D410" s="10" t="s">
        <v>46</v>
      </c>
    </row>
    <row r="411" spans="1:4" x14ac:dyDescent="0.25">
      <c r="A411" s="11">
        <v>1050</v>
      </c>
      <c r="B411" s="10" t="s">
        <v>37</v>
      </c>
      <c r="C411" s="10" t="s">
        <v>45</v>
      </c>
      <c r="D411" s="10" t="s">
        <v>46</v>
      </c>
    </row>
    <row r="412" spans="1:4" x14ac:dyDescent="0.25">
      <c r="A412" s="11">
        <v>1050</v>
      </c>
      <c r="B412" s="10" t="s">
        <v>37</v>
      </c>
      <c r="C412" s="10" t="s">
        <v>45</v>
      </c>
      <c r="D412" s="10" t="s">
        <v>46</v>
      </c>
    </row>
    <row r="413" spans="1:4" x14ac:dyDescent="0.25">
      <c r="A413" s="11">
        <v>1050</v>
      </c>
      <c r="B413" s="10" t="s">
        <v>37</v>
      </c>
      <c r="C413" s="10" t="s">
        <v>45</v>
      </c>
      <c r="D413" s="10" t="s">
        <v>46</v>
      </c>
    </row>
    <row r="414" spans="1:4" x14ac:dyDescent="0.25">
      <c r="A414" s="11">
        <v>1050</v>
      </c>
      <c r="B414" s="10" t="s">
        <v>37</v>
      </c>
      <c r="C414" s="10" t="s">
        <v>45</v>
      </c>
      <c r="D414" s="10" t="s">
        <v>46</v>
      </c>
    </row>
    <row r="415" spans="1:4" x14ac:dyDescent="0.25">
      <c r="A415" s="11">
        <v>1050</v>
      </c>
      <c r="B415" s="10" t="s">
        <v>37</v>
      </c>
      <c r="C415" s="10" t="s">
        <v>45</v>
      </c>
      <c r="D415" s="10" t="s">
        <v>46</v>
      </c>
    </row>
    <row r="416" spans="1:4" x14ac:dyDescent="0.25">
      <c r="A416" s="11">
        <v>1050</v>
      </c>
      <c r="B416" s="10" t="s">
        <v>37</v>
      </c>
      <c r="C416" s="10" t="s">
        <v>45</v>
      </c>
      <c r="D416" s="10" t="s">
        <v>46</v>
      </c>
    </row>
    <row r="417" spans="1:4" x14ac:dyDescent="0.25">
      <c r="A417" s="11">
        <v>1050</v>
      </c>
      <c r="B417" s="10" t="s">
        <v>37</v>
      </c>
      <c r="C417" s="10" t="s">
        <v>45</v>
      </c>
      <c r="D417" s="10" t="s">
        <v>46</v>
      </c>
    </row>
    <row r="418" spans="1:4" x14ac:dyDescent="0.25">
      <c r="A418" s="11">
        <v>1050</v>
      </c>
      <c r="B418" s="10" t="s">
        <v>37</v>
      </c>
      <c r="C418" s="10" t="s">
        <v>45</v>
      </c>
      <c r="D418" s="10" t="s">
        <v>46</v>
      </c>
    </row>
    <row r="419" spans="1:4" x14ac:dyDescent="0.25">
      <c r="A419" s="11">
        <v>1050</v>
      </c>
      <c r="B419" s="10" t="s">
        <v>37</v>
      </c>
      <c r="C419" s="10" t="s">
        <v>45</v>
      </c>
      <c r="D419" s="10" t="s">
        <v>46</v>
      </c>
    </row>
    <row r="420" spans="1:4" x14ac:dyDescent="0.25">
      <c r="A420" s="11">
        <v>1050</v>
      </c>
      <c r="B420" s="10" t="s">
        <v>37</v>
      </c>
      <c r="C420" s="10" t="s">
        <v>45</v>
      </c>
      <c r="D420" s="10" t="s">
        <v>46</v>
      </c>
    </row>
    <row r="421" spans="1:4" x14ac:dyDescent="0.25">
      <c r="A421" s="11">
        <v>1050</v>
      </c>
      <c r="B421" s="10" t="s">
        <v>37</v>
      </c>
      <c r="C421" s="10" t="s">
        <v>45</v>
      </c>
      <c r="D421" s="10" t="s">
        <v>46</v>
      </c>
    </row>
    <row r="422" spans="1:4" x14ac:dyDescent="0.25">
      <c r="A422" s="11">
        <v>1050</v>
      </c>
      <c r="B422" s="10" t="s">
        <v>37</v>
      </c>
      <c r="C422" s="10" t="s">
        <v>45</v>
      </c>
      <c r="D422" s="10" t="s">
        <v>46</v>
      </c>
    </row>
    <row r="423" spans="1:4" x14ac:dyDescent="0.25">
      <c r="A423" s="11">
        <v>1050</v>
      </c>
      <c r="B423" s="10" t="s">
        <v>37</v>
      </c>
      <c r="C423" s="10" t="s">
        <v>45</v>
      </c>
      <c r="D423" s="10" t="s">
        <v>46</v>
      </c>
    </row>
    <row r="424" spans="1:4" x14ac:dyDescent="0.25">
      <c r="A424" s="11">
        <v>1050</v>
      </c>
      <c r="B424" s="10" t="s">
        <v>37</v>
      </c>
      <c r="C424" s="10" t="s">
        <v>45</v>
      </c>
      <c r="D424" s="10" t="s">
        <v>46</v>
      </c>
    </row>
    <row r="425" spans="1:4" x14ac:dyDescent="0.25">
      <c r="A425" s="11">
        <v>1050</v>
      </c>
      <c r="B425" s="10" t="s">
        <v>37</v>
      </c>
      <c r="C425" s="10" t="s">
        <v>45</v>
      </c>
      <c r="D425" s="10" t="s">
        <v>46</v>
      </c>
    </row>
    <row r="426" spans="1:4" x14ac:dyDescent="0.25">
      <c r="A426" s="11">
        <v>1050</v>
      </c>
      <c r="B426" s="10" t="s">
        <v>37</v>
      </c>
      <c r="C426" s="10" t="s">
        <v>45</v>
      </c>
      <c r="D426" s="10" t="s">
        <v>46</v>
      </c>
    </row>
    <row r="427" spans="1:4" x14ac:dyDescent="0.25">
      <c r="A427" s="11">
        <v>1050</v>
      </c>
      <c r="B427" s="10" t="s">
        <v>37</v>
      </c>
      <c r="C427" s="10" t="s">
        <v>45</v>
      </c>
      <c r="D427" s="10" t="s">
        <v>46</v>
      </c>
    </row>
    <row r="428" spans="1:4" x14ac:dyDescent="0.25">
      <c r="A428" s="11">
        <v>1050</v>
      </c>
      <c r="B428" s="10" t="s">
        <v>37</v>
      </c>
      <c r="C428" s="10" t="s">
        <v>45</v>
      </c>
      <c r="D428" s="10" t="s">
        <v>46</v>
      </c>
    </row>
    <row r="429" spans="1:4" x14ac:dyDescent="0.25">
      <c r="A429" s="11">
        <v>1050</v>
      </c>
      <c r="B429" s="10" t="s">
        <v>37</v>
      </c>
      <c r="C429" s="10" t="s">
        <v>45</v>
      </c>
      <c r="D429" s="10" t="s">
        <v>46</v>
      </c>
    </row>
    <row r="430" spans="1:4" x14ac:dyDescent="0.25">
      <c r="A430" s="11">
        <v>1050</v>
      </c>
      <c r="B430" s="10" t="s">
        <v>37</v>
      </c>
      <c r="C430" s="10" t="s">
        <v>45</v>
      </c>
      <c r="D430" s="10" t="s">
        <v>46</v>
      </c>
    </row>
    <row r="431" spans="1:4" x14ac:dyDescent="0.25">
      <c r="A431" s="11">
        <v>1050</v>
      </c>
      <c r="B431" s="10" t="s">
        <v>37</v>
      </c>
      <c r="C431" s="10" t="s">
        <v>45</v>
      </c>
      <c r="D431" s="10" t="s">
        <v>46</v>
      </c>
    </row>
    <row r="432" spans="1:4" x14ac:dyDescent="0.25">
      <c r="A432" s="11">
        <v>1050</v>
      </c>
      <c r="B432" s="10" t="s">
        <v>37</v>
      </c>
      <c r="C432" s="10" t="s">
        <v>45</v>
      </c>
      <c r="D432" s="10" t="s">
        <v>46</v>
      </c>
    </row>
    <row r="433" spans="1:4" x14ac:dyDescent="0.25">
      <c r="A433" s="11">
        <v>1050</v>
      </c>
      <c r="B433" s="10" t="s">
        <v>37</v>
      </c>
      <c r="C433" s="10" t="s">
        <v>45</v>
      </c>
      <c r="D433" s="10" t="s">
        <v>46</v>
      </c>
    </row>
    <row r="434" spans="1:4" x14ac:dyDescent="0.25">
      <c r="A434" s="11">
        <v>1050</v>
      </c>
      <c r="B434" s="10" t="s">
        <v>37</v>
      </c>
      <c r="C434" s="10" t="s">
        <v>45</v>
      </c>
      <c r="D434" s="10" t="s">
        <v>46</v>
      </c>
    </row>
    <row r="435" spans="1:4" x14ac:dyDescent="0.25">
      <c r="A435" s="11">
        <v>1050</v>
      </c>
      <c r="B435" s="10" t="s">
        <v>37</v>
      </c>
      <c r="C435" s="10" t="s">
        <v>45</v>
      </c>
      <c r="D435" s="10" t="s">
        <v>46</v>
      </c>
    </row>
    <row r="436" spans="1:4" x14ac:dyDescent="0.25">
      <c r="A436" s="11">
        <v>1050</v>
      </c>
      <c r="B436" s="10" t="s">
        <v>37</v>
      </c>
      <c r="C436" s="10" t="s">
        <v>45</v>
      </c>
      <c r="D436" s="10" t="s">
        <v>46</v>
      </c>
    </row>
    <row r="437" spans="1:4" x14ac:dyDescent="0.25">
      <c r="A437" s="11">
        <v>1050</v>
      </c>
      <c r="B437" s="10" t="s">
        <v>37</v>
      </c>
      <c r="C437" s="10" t="s">
        <v>45</v>
      </c>
      <c r="D437" s="10" t="s">
        <v>46</v>
      </c>
    </row>
    <row r="438" spans="1:4" x14ac:dyDescent="0.25">
      <c r="A438" s="11">
        <v>1050</v>
      </c>
      <c r="B438" s="10" t="s">
        <v>37</v>
      </c>
      <c r="C438" s="10" t="s">
        <v>45</v>
      </c>
      <c r="D438" s="10" t="s">
        <v>46</v>
      </c>
    </row>
    <row r="439" spans="1:4" x14ac:dyDescent="0.25">
      <c r="A439" s="11">
        <v>1050</v>
      </c>
      <c r="B439" s="10" t="s">
        <v>37</v>
      </c>
      <c r="C439" s="10" t="s">
        <v>45</v>
      </c>
      <c r="D439" s="10" t="s">
        <v>46</v>
      </c>
    </row>
    <row r="440" spans="1:4" x14ac:dyDescent="0.25">
      <c r="A440" s="11">
        <v>1050</v>
      </c>
      <c r="B440" s="10" t="s">
        <v>37</v>
      </c>
      <c r="C440" s="10" t="s">
        <v>45</v>
      </c>
      <c r="D440" s="10" t="s">
        <v>46</v>
      </c>
    </row>
    <row r="441" spans="1:4" x14ac:dyDescent="0.25">
      <c r="A441" s="11">
        <v>1050</v>
      </c>
      <c r="B441" s="10" t="s">
        <v>37</v>
      </c>
      <c r="C441" s="10" t="s">
        <v>45</v>
      </c>
      <c r="D441" s="10" t="s">
        <v>46</v>
      </c>
    </row>
    <row r="442" spans="1:4" x14ac:dyDescent="0.25">
      <c r="A442" s="11">
        <v>1050</v>
      </c>
      <c r="B442" s="10" t="s">
        <v>37</v>
      </c>
      <c r="C442" s="10" t="s">
        <v>45</v>
      </c>
      <c r="D442" s="10" t="s">
        <v>46</v>
      </c>
    </row>
    <row r="443" spans="1:4" x14ac:dyDescent="0.25">
      <c r="A443" s="11">
        <v>1050</v>
      </c>
      <c r="B443" s="10" t="s">
        <v>37</v>
      </c>
      <c r="C443" s="10" t="s">
        <v>45</v>
      </c>
      <c r="D443" s="10" t="s">
        <v>46</v>
      </c>
    </row>
    <row r="444" spans="1:4" x14ac:dyDescent="0.25">
      <c r="A444" s="11">
        <v>1050</v>
      </c>
      <c r="B444" s="10" t="s">
        <v>37</v>
      </c>
      <c r="C444" s="10" t="s">
        <v>45</v>
      </c>
      <c r="D444" s="10" t="s">
        <v>46</v>
      </c>
    </row>
    <row r="445" spans="1:4" x14ac:dyDescent="0.25">
      <c r="A445" s="11">
        <v>1050</v>
      </c>
      <c r="B445" s="10" t="s">
        <v>37</v>
      </c>
      <c r="C445" s="10" t="s">
        <v>45</v>
      </c>
      <c r="D445" s="10" t="s">
        <v>46</v>
      </c>
    </row>
    <row r="446" spans="1:4" x14ac:dyDescent="0.25">
      <c r="A446" s="11">
        <v>1050</v>
      </c>
      <c r="B446" s="10" t="s">
        <v>37</v>
      </c>
      <c r="C446" s="10" t="s">
        <v>45</v>
      </c>
      <c r="D446" s="10" t="s">
        <v>46</v>
      </c>
    </row>
    <row r="447" spans="1:4" x14ac:dyDescent="0.25">
      <c r="A447" s="11">
        <v>1050</v>
      </c>
      <c r="B447" s="10" t="s">
        <v>37</v>
      </c>
      <c r="C447" s="10" t="s">
        <v>45</v>
      </c>
      <c r="D447" s="10" t="s">
        <v>46</v>
      </c>
    </row>
    <row r="448" spans="1:4" x14ac:dyDescent="0.25">
      <c r="A448" s="11">
        <v>1050</v>
      </c>
      <c r="B448" s="10" t="s">
        <v>37</v>
      </c>
      <c r="C448" s="10" t="s">
        <v>45</v>
      </c>
      <c r="D448" s="10" t="s">
        <v>46</v>
      </c>
    </row>
    <row r="449" spans="1:4" x14ac:dyDescent="0.25">
      <c r="A449" s="11">
        <v>1050</v>
      </c>
      <c r="B449" s="10" t="s">
        <v>37</v>
      </c>
      <c r="C449" s="10" t="s">
        <v>45</v>
      </c>
      <c r="D449" s="10" t="s">
        <v>46</v>
      </c>
    </row>
    <row r="450" spans="1:4" x14ac:dyDescent="0.25">
      <c r="A450" s="11">
        <v>1050</v>
      </c>
      <c r="B450" s="10" t="s">
        <v>37</v>
      </c>
      <c r="C450" s="10" t="s">
        <v>45</v>
      </c>
      <c r="D450" s="10" t="s">
        <v>46</v>
      </c>
    </row>
    <row r="451" spans="1:4" x14ac:dyDescent="0.25">
      <c r="A451" s="11">
        <v>1050</v>
      </c>
      <c r="B451" s="10" t="s">
        <v>37</v>
      </c>
      <c r="C451" s="10" t="s">
        <v>45</v>
      </c>
      <c r="D451" s="10" t="s">
        <v>46</v>
      </c>
    </row>
    <row r="452" spans="1:4" x14ac:dyDescent="0.25">
      <c r="A452" s="11">
        <v>1050</v>
      </c>
      <c r="B452" s="10" t="s">
        <v>37</v>
      </c>
      <c r="C452" s="10" t="s">
        <v>45</v>
      </c>
      <c r="D452" s="10" t="s">
        <v>46</v>
      </c>
    </row>
    <row r="453" spans="1:4" x14ac:dyDescent="0.25">
      <c r="A453" s="11">
        <v>1050</v>
      </c>
      <c r="B453" s="10" t="s">
        <v>37</v>
      </c>
      <c r="C453" s="10" t="s">
        <v>45</v>
      </c>
      <c r="D453" s="10" t="s">
        <v>46</v>
      </c>
    </row>
    <row r="454" spans="1:4" x14ac:dyDescent="0.25">
      <c r="A454" s="11">
        <v>1050</v>
      </c>
      <c r="B454" s="10" t="s">
        <v>37</v>
      </c>
      <c r="C454" s="10" t="s">
        <v>45</v>
      </c>
      <c r="D454" s="10" t="s">
        <v>46</v>
      </c>
    </row>
    <row r="455" spans="1:4" x14ac:dyDescent="0.25">
      <c r="A455" s="11">
        <v>1050</v>
      </c>
      <c r="B455" s="10" t="s">
        <v>37</v>
      </c>
      <c r="C455" s="10" t="s">
        <v>45</v>
      </c>
      <c r="D455" s="10" t="s">
        <v>46</v>
      </c>
    </row>
    <row r="456" spans="1:4" x14ac:dyDescent="0.25">
      <c r="A456" s="11">
        <v>1050</v>
      </c>
      <c r="B456" s="10" t="s">
        <v>37</v>
      </c>
      <c r="C456" s="10" t="s">
        <v>45</v>
      </c>
      <c r="D456" s="10" t="s">
        <v>46</v>
      </c>
    </row>
    <row r="457" spans="1:4" x14ac:dyDescent="0.25">
      <c r="A457" s="11">
        <v>1050</v>
      </c>
      <c r="B457" s="10" t="s">
        <v>37</v>
      </c>
      <c r="C457" s="10" t="s">
        <v>45</v>
      </c>
      <c r="D457" s="10" t="s">
        <v>46</v>
      </c>
    </row>
    <row r="458" spans="1:4" x14ac:dyDescent="0.25">
      <c r="A458" s="11">
        <v>1050</v>
      </c>
      <c r="B458" s="10" t="s">
        <v>37</v>
      </c>
      <c r="C458" s="10" t="s">
        <v>45</v>
      </c>
      <c r="D458" s="10" t="s">
        <v>46</v>
      </c>
    </row>
    <row r="459" spans="1:4" x14ac:dyDescent="0.25">
      <c r="A459" s="11">
        <v>1050</v>
      </c>
      <c r="B459" s="10" t="s">
        <v>37</v>
      </c>
      <c r="C459" s="10" t="s">
        <v>45</v>
      </c>
      <c r="D459" s="10" t="s">
        <v>46</v>
      </c>
    </row>
    <row r="460" spans="1:4" x14ac:dyDescent="0.25">
      <c r="A460" s="11">
        <v>1050</v>
      </c>
      <c r="B460" s="10" t="s">
        <v>37</v>
      </c>
      <c r="C460" s="10" t="s">
        <v>45</v>
      </c>
      <c r="D460" s="10" t="s">
        <v>46</v>
      </c>
    </row>
    <row r="461" spans="1:4" x14ac:dyDescent="0.25">
      <c r="A461" s="11">
        <v>1050</v>
      </c>
      <c r="B461" s="10" t="s">
        <v>37</v>
      </c>
      <c r="C461" s="10" t="s">
        <v>45</v>
      </c>
      <c r="D461" s="10" t="s">
        <v>46</v>
      </c>
    </row>
    <row r="462" spans="1:4" x14ac:dyDescent="0.25">
      <c r="A462" s="11">
        <v>1050</v>
      </c>
      <c r="B462" s="10" t="s">
        <v>37</v>
      </c>
      <c r="C462" s="10" t="s">
        <v>45</v>
      </c>
      <c r="D462" s="10" t="s">
        <v>46</v>
      </c>
    </row>
    <row r="463" spans="1:4" x14ac:dyDescent="0.25">
      <c r="A463" s="11">
        <v>1050</v>
      </c>
      <c r="B463" s="10" t="s">
        <v>37</v>
      </c>
      <c r="C463" s="10" t="s">
        <v>45</v>
      </c>
      <c r="D463" s="10" t="s">
        <v>46</v>
      </c>
    </row>
    <row r="464" spans="1:4" x14ac:dyDescent="0.25">
      <c r="A464" s="11">
        <v>1050</v>
      </c>
      <c r="B464" s="10" t="s">
        <v>37</v>
      </c>
      <c r="C464" s="10" t="s">
        <v>45</v>
      </c>
      <c r="D464" s="10" t="s">
        <v>46</v>
      </c>
    </row>
    <row r="465" spans="1:4" x14ac:dyDescent="0.25">
      <c r="A465" s="11">
        <v>1050</v>
      </c>
      <c r="B465" s="10" t="s">
        <v>37</v>
      </c>
      <c r="C465" s="10" t="s">
        <v>45</v>
      </c>
      <c r="D465" s="10" t="s">
        <v>46</v>
      </c>
    </row>
    <row r="466" spans="1:4" x14ac:dyDescent="0.25">
      <c r="A466" s="11">
        <v>1050</v>
      </c>
      <c r="B466" s="10" t="s">
        <v>37</v>
      </c>
      <c r="C466" s="10" t="s">
        <v>45</v>
      </c>
      <c r="D466" s="10" t="s">
        <v>46</v>
      </c>
    </row>
    <row r="467" spans="1:4" x14ac:dyDescent="0.25">
      <c r="A467" s="11">
        <v>1050</v>
      </c>
      <c r="B467" s="10" t="s">
        <v>37</v>
      </c>
      <c r="C467" s="10" t="s">
        <v>45</v>
      </c>
      <c r="D467" s="10" t="s">
        <v>46</v>
      </c>
    </row>
    <row r="468" spans="1:4" x14ac:dyDescent="0.25">
      <c r="A468" s="11">
        <v>1050</v>
      </c>
      <c r="B468" s="10" t="s">
        <v>37</v>
      </c>
      <c r="C468" s="10" t="s">
        <v>45</v>
      </c>
      <c r="D468" s="10" t="s">
        <v>46</v>
      </c>
    </row>
    <row r="469" spans="1:4" x14ac:dyDescent="0.25">
      <c r="A469" s="11">
        <v>1050</v>
      </c>
      <c r="B469" s="10" t="s">
        <v>37</v>
      </c>
      <c r="C469" s="10" t="s">
        <v>45</v>
      </c>
      <c r="D469" s="10" t="s">
        <v>46</v>
      </c>
    </row>
    <row r="470" spans="1:4" x14ac:dyDescent="0.25">
      <c r="A470" s="11">
        <v>1050</v>
      </c>
      <c r="B470" s="10" t="s">
        <v>37</v>
      </c>
      <c r="C470" s="10" t="s">
        <v>45</v>
      </c>
      <c r="D470" s="10" t="s">
        <v>46</v>
      </c>
    </row>
    <row r="471" spans="1:4" x14ac:dyDescent="0.25">
      <c r="A471" s="11">
        <v>1050</v>
      </c>
      <c r="B471" s="10" t="s">
        <v>37</v>
      </c>
      <c r="C471" s="10" t="s">
        <v>45</v>
      </c>
      <c r="D471" s="10" t="s">
        <v>46</v>
      </c>
    </row>
    <row r="472" spans="1:4" x14ac:dyDescent="0.25">
      <c r="A472" s="11">
        <v>1050</v>
      </c>
      <c r="B472" s="10" t="s">
        <v>37</v>
      </c>
      <c r="C472" s="10" t="s">
        <v>45</v>
      </c>
      <c r="D472" s="10" t="s">
        <v>46</v>
      </c>
    </row>
    <row r="473" spans="1:4" x14ac:dyDescent="0.25">
      <c r="A473" s="11">
        <v>1050</v>
      </c>
      <c r="B473" s="10" t="s">
        <v>37</v>
      </c>
      <c r="C473" s="10" t="s">
        <v>45</v>
      </c>
      <c r="D473" s="10" t="s">
        <v>46</v>
      </c>
    </row>
    <row r="474" spans="1:4" x14ac:dyDescent="0.25">
      <c r="A474" s="11">
        <v>1050</v>
      </c>
      <c r="B474" s="10" t="s">
        <v>37</v>
      </c>
      <c r="C474" s="10" t="s">
        <v>45</v>
      </c>
      <c r="D474" s="10" t="s">
        <v>46</v>
      </c>
    </row>
    <row r="475" spans="1:4" x14ac:dyDescent="0.25">
      <c r="A475" s="11">
        <v>1050</v>
      </c>
      <c r="B475" s="10" t="s">
        <v>37</v>
      </c>
      <c r="C475" s="10" t="s">
        <v>45</v>
      </c>
      <c r="D475" s="10" t="s">
        <v>46</v>
      </c>
    </row>
    <row r="476" spans="1:4" x14ac:dyDescent="0.25">
      <c r="A476" s="11">
        <v>1050</v>
      </c>
      <c r="B476" s="10" t="s">
        <v>37</v>
      </c>
      <c r="C476" s="10" t="s">
        <v>45</v>
      </c>
      <c r="D476" s="10" t="s">
        <v>46</v>
      </c>
    </row>
    <row r="477" spans="1:4" x14ac:dyDescent="0.25">
      <c r="A477" s="11">
        <v>1050</v>
      </c>
      <c r="B477" s="10" t="s">
        <v>37</v>
      </c>
      <c r="C477" s="10" t="s">
        <v>45</v>
      </c>
      <c r="D477" s="10" t="s">
        <v>46</v>
      </c>
    </row>
    <row r="478" spans="1:4" x14ac:dyDescent="0.25">
      <c r="A478" s="11">
        <v>1050</v>
      </c>
      <c r="B478" s="10" t="s">
        <v>37</v>
      </c>
      <c r="C478" s="10" t="s">
        <v>45</v>
      </c>
      <c r="D478" s="10" t="s">
        <v>46</v>
      </c>
    </row>
    <row r="479" spans="1:4" x14ac:dyDescent="0.25">
      <c r="A479" s="11">
        <v>1050</v>
      </c>
      <c r="B479" s="10" t="s">
        <v>37</v>
      </c>
      <c r="C479" s="10" t="s">
        <v>45</v>
      </c>
      <c r="D479" s="10" t="s">
        <v>46</v>
      </c>
    </row>
    <row r="480" spans="1:4" x14ac:dyDescent="0.25">
      <c r="A480" s="11">
        <v>1050</v>
      </c>
      <c r="B480" s="10" t="s">
        <v>37</v>
      </c>
      <c r="C480" s="10" t="s">
        <v>45</v>
      </c>
      <c r="D480" s="10" t="s">
        <v>46</v>
      </c>
    </row>
    <row r="481" spans="1:4" x14ac:dyDescent="0.25">
      <c r="A481" s="11">
        <v>1050</v>
      </c>
      <c r="B481" s="10" t="s">
        <v>37</v>
      </c>
      <c r="C481" s="10" t="s">
        <v>45</v>
      </c>
      <c r="D481" s="10" t="s">
        <v>46</v>
      </c>
    </row>
    <row r="482" spans="1:4" x14ac:dyDescent="0.25">
      <c r="A482" s="11">
        <v>1050</v>
      </c>
      <c r="B482" s="10" t="s">
        <v>37</v>
      </c>
      <c r="C482" s="10" t="s">
        <v>45</v>
      </c>
      <c r="D482" s="10" t="s">
        <v>46</v>
      </c>
    </row>
    <row r="483" spans="1:4" x14ac:dyDescent="0.25">
      <c r="A483" s="11">
        <v>1050</v>
      </c>
      <c r="B483" s="10" t="s">
        <v>37</v>
      </c>
      <c r="C483" s="10" t="s">
        <v>45</v>
      </c>
      <c r="D483" s="10" t="s">
        <v>46</v>
      </c>
    </row>
    <row r="484" spans="1:4" x14ac:dyDescent="0.25">
      <c r="A484" s="11">
        <v>1050</v>
      </c>
      <c r="B484" s="10" t="s">
        <v>37</v>
      </c>
      <c r="C484" s="10" t="s">
        <v>45</v>
      </c>
      <c r="D484" s="10" t="s">
        <v>46</v>
      </c>
    </row>
    <row r="485" spans="1:4" x14ac:dyDescent="0.25">
      <c r="A485" s="11">
        <v>1050</v>
      </c>
      <c r="B485" s="10" t="s">
        <v>37</v>
      </c>
      <c r="C485" s="10" t="s">
        <v>45</v>
      </c>
      <c r="D485" s="10" t="s">
        <v>46</v>
      </c>
    </row>
    <row r="486" spans="1:4" x14ac:dyDescent="0.25">
      <c r="A486" s="11">
        <v>1050</v>
      </c>
      <c r="B486" s="10" t="s">
        <v>37</v>
      </c>
      <c r="C486" s="10" t="s">
        <v>45</v>
      </c>
      <c r="D486" s="10" t="s">
        <v>46</v>
      </c>
    </row>
    <row r="487" spans="1:4" x14ac:dyDescent="0.25">
      <c r="A487" s="11">
        <v>1050</v>
      </c>
      <c r="B487" s="10" t="s">
        <v>37</v>
      </c>
      <c r="C487" s="10" t="s">
        <v>45</v>
      </c>
      <c r="D487" s="10" t="s">
        <v>46</v>
      </c>
    </row>
    <row r="488" spans="1:4" x14ac:dyDescent="0.25">
      <c r="A488" s="11">
        <v>1050</v>
      </c>
      <c r="B488" s="10" t="s">
        <v>37</v>
      </c>
      <c r="C488" s="10" t="s">
        <v>45</v>
      </c>
      <c r="D488" s="10" t="s">
        <v>46</v>
      </c>
    </row>
    <row r="489" spans="1:4" x14ac:dyDescent="0.25">
      <c r="A489" s="11">
        <v>1050</v>
      </c>
      <c r="B489" s="10" t="s">
        <v>37</v>
      </c>
      <c r="C489" s="10" t="s">
        <v>45</v>
      </c>
      <c r="D489" s="10" t="s">
        <v>46</v>
      </c>
    </row>
    <row r="490" spans="1:4" x14ac:dyDescent="0.25">
      <c r="A490" s="11">
        <v>1050</v>
      </c>
      <c r="B490" s="10" t="s">
        <v>37</v>
      </c>
      <c r="C490" s="10" t="s">
        <v>45</v>
      </c>
      <c r="D490" s="10" t="s">
        <v>46</v>
      </c>
    </row>
    <row r="491" spans="1:4" x14ac:dyDescent="0.25">
      <c r="A491" s="11">
        <v>1050</v>
      </c>
      <c r="B491" s="10" t="s">
        <v>37</v>
      </c>
      <c r="C491" s="10" t="s">
        <v>45</v>
      </c>
      <c r="D491" s="10" t="s">
        <v>46</v>
      </c>
    </row>
    <row r="492" spans="1:4" x14ac:dyDescent="0.25">
      <c r="A492" s="11">
        <v>1050</v>
      </c>
      <c r="B492" s="10" t="s">
        <v>37</v>
      </c>
      <c r="C492" s="10" t="s">
        <v>45</v>
      </c>
      <c r="D492" s="10" t="s">
        <v>46</v>
      </c>
    </row>
    <row r="493" spans="1:4" x14ac:dyDescent="0.25">
      <c r="A493" s="11">
        <v>1050</v>
      </c>
      <c r="B493" s="10" t="s">
        <v>37</v>
      </c>
      <c r="C493" s="10" t="s">
        <v>45</v>
      </c>
      <c r="D493" s="10" t="s">
        <v>46</v>
      </c>
    </row>
    <row r="494" spans="1:4" x14ac:dyDescent="0.25">
      <c r="A494" s="11">
        <v>1050</v>
      </c>
      <c r="B494" s="10" t="s">
        <v>37</v>
      </c>
      <c r="C494" s="10" t="s">
        <v>45</v>
      </c>
      <c r="D494" s="10" t="s">
        <v>46</v>
      </c>
    </row>
    <row r="495" spans="1:4" x14ac:dyDescent="0.25">
      <c r="A495" s="11">
        <v>1050</v>
      </c>
      <c r="B495" s="10" t="s">
        <v>37</v>
      </c>
      <c r="C495" s="10" t="s">
        <v>45</v>
      </c>
      <c r="D495" s="10" t="s">
        <v>46</v>
      </c>
    </row>
    <row r="496" spans="1:4" x14ac:dyDescent="0.25">
      <c r="A496" s="11">
        <v>1050</v>
      </c>
      <c r="B496" s="10" t="s">
        <v>37</v>
      </c>
      <c r="C496" s="10" t="s">
        <v>45</v>
      </c>
      <c r="D496" s="10" t="s">
        <v>46</v>
      </c>
    </row>
    <row r="497" spans="1:4" x14ac:dyDescent="0.25">
      <c r="A497" s="11">
        <v>1050</v>
      </c>
      <c r="B497" s="10" t="s">
        <v>37</v>
      </c>
      <c r="C497" s="10" t="s">
        <v>45</v>
      </c>
      <c r="D497" s="10" t="s">
        <v>46</v>
      </c>
    </row>
    <row r="498" spans="1:4" x14ac:dyDescent="0.25">
      <c r="A498" s="11">
        <v>1050</v>
      </c>
      <c r="B498" s="10" t="s">
        <v>37</v>
      </c>
      <c r="C498" s="10" t="s">
        <v>45</v>
      </c>
      <c r="D498" s="10" t="s">
        <v>46</v>
      </c>
    </row>
    <row r="499" spans="1:4" x14ac:dyDescent="0.25">
      <c r="A499" s="11">
        <v>1050</v>
      </c>
      <c r="B499" s="10" t="s">
        <v>37</v>
      </c>
      <c r="C499" s="10" t="s">
        <v>45</v>
      </c>
      <c r="D499" s="10" t="s">
        <v>46</v>
      </c>
    </row>
    <row r="500" spans="1:4" x14ac:dyDescent="0.25">
      <c r="A500" s="11">
        <v>1050</v>
      </c>
      <c r="B500" s="10" t="s">
        <v>37</v>
      </c>
      <c r="C500" s="10" t="s">
        <v>45</v>
      </c>
      <c r="D500" s="10" t="s">
        <v>46</v>
      </c>
    </row>
    <row r="501" spans="1:4" x14ac:dyDescent="0.25">
      <c r="A501" s="11">
        <v>1050</v>
      </c>
      <c r="B501" s="10" t="s">
        <v>37</v>
      </c>
      <c r="C501" s="10" t="s">
        <v>45</v>
      </c>
      <c r="D501" s="10" t="s">
        <v>46</v>
      </c>
    </row>
    <row r="502" spans="1:4" x14ac:dyDescent="0.25">
      <c r="A502" s="11">
        <v>1050</v>
      </c>
      <c r="B502" s="10" t="s">
        <v>37</v>
      </c>
      <c r="C502" s="10" t="s">
        <v>45</v>
      </c>
      <c r="D502" s="10" t="s">
        <v>46</v>
      </c>
    </row>
    <row r="503" spans="1:4" x14ac:dyDescent="0.25">
      <c r="A503" s="11">
        <v>1050</v>
      </c>
      <c r="B503" s="10" t="s">
        <v>37</v>
      </c>
      <c r="C503" s="10" t="s">
        <v>45</v>
      </c>
      <c r="D503" s="10" t="s">
        <v>46</v>
      </c>
    </row>
    <row r="504" spans="1:4" x14ac:dyDescent="0.25">
      <c r="A504" s="11">
        <v>1050</v>
      </c>
      <c r="B504" s="10" t="s">
        <v>37</v>
      </c>
      <c r="C504" s="10" t="s">
        <v>45</v>
      </c>
      <c r="D504" s="10" t="s">
        <v>46</v>
      </c>
    </row>
    <row r="505" spans="1:4" x14ac:dyDescent="0.25">
      <c r="A505" s="11">
        <v>1050</v>
      </c>
      <c r="B505" s="10" t="s">
        <v>37</v>
      </c>
      <c r="C505" s="10" t="s">
        <v>45</v>
      </c>
      <c r="D505" s="10" t="s">
        <v>46</v>
      </c>
    </row>
    <row r="506" spans="1:4" x14ac:dyDescent="0.25">
      <c r="A506" s="11">
        <v>1050</v>
      </c>
      <c r="B506" s="10" t="s">
        <v>37</v>
      </c>
      <c r="C506" s="10" t="s">
        <v>45</v>
      </c>
      <c r="D506" s="10" t="s">
        <v>46</v>
      </c>
    </row>
    <row r="507" spans="1:4" x14ac:dyDescent="0.25">
      <c r="A507" s="11">
        <v>1050</v>
      </c>
      <c r="B507" s="10" t="s">
        <v>37</v>
      </c>
      <c r="C507" s="10" t="s">
        <v>45</v>
      </c>
      <c r="D507" s="10" t="s">
        <v>46</v>
      </c>
    </row>
    <row r="508" spans="1:4" x14ac:dyDescent="0.25">
      <c r="A508" s="11">
        <v>1050</v>
      </c>
      <c r="B508" s="10" t="s">
        <v>37</v>
      </c>
      <c r="C508" s="10" t="s">
        <v>45</v>
      </c>
      <c r="D508" s="10" t="s">
        <v>46</v>
      </c>
    </row>
    <row r="509" spans="1:4" x14ac:dyDescent="0.25">
      <c r="A509" s="11">
        <v>1050</v>
      </c>
      <c r="B509" s="10" t="s">
        <v>37</v>
      </c>
      <c r="C509" s="10" t="s">
        <v>45</v>
      </c>
      <c r="D509" s="10" t="s">
        <v>46</v>
      </c>
    </row>
    <row r="510" spans="1:4" x14ac:dyDescent="0.25">
      <c r="A510" s="11">
        <v>1050</v>
      </c>
      <c r="B510" s="10" t="s">
        <v>37</v>
      </c>
      <c r="C510" s="10" t="s">
        <v>45</v>
      </c>
      <c r="D510" s="10" t="s">
        <v>46</v>
      </c>
    </row>
    <row r="511" spans="1:4" x14ac:dyDescent="0.25">
      <c r="A511" s="11">
        <v>1050</v>
      </c>
      <c r="B511" s="10" t="s">
        <v>37</v>
      </c>
      <c r="C511" s="10" t="s">
        <v>45</v>
      </c>
      <c r="D511" s="10" t="s">
        <v>46</v>
      </c>
    </row>
    <row r="512" spans="1:4" x14ac:dyDescent="0.25">
      <c r="A512" s="11">
        <v>1050</v>
      </c>
      <c r="B512" s="10" t="s">
        <v>37</v>
      </c>
      <c r="C512" s="10" t="s">
        <v>45</v>
      </c>
      <c r="D512" s="10" t="s">
        <v>46</v>
      </c>
    </row>
    <row r="513" spans="1:4" x14ac:dyDescent="0.25">
      <c r="A513" s="11">
        <v>1050</v>
      </c>
      <c r="B513" s="10" t="s">
        <v>37</v>
      </c>
      <c r="C513" s="10" t="s">
        <v>45</v>
      </c>
      <c r="D513" s="10" t="s">
        <v>46</v>
      </c>
    </row>
    <row r="514" spans="1:4" x14ac:dyDescent="0.25">
      <c r="A514" s="11">
        <v>1050</v>
      </c>
      <c r="B514" s="10" t="s">
        <v>37</v>
      </c>
      <c r="C514" s="10" t="s">
        <v>45</v>
      </c>
      <c r="D514" s="10" t="s">
        <v>46</v>
      </c>
    </row>
    <row r="515" spans="1:4" x14ac:dyDescent="0.25">
      <c r="A515" s="11">
        <v>1050</v>
      </c>
      <c r="B515" s="10" t="s">
        <v>37</v>
      </c>
      <c r="C515" s="10" t="s">
        <v>45</v>
      </c>
      <c r="D515" s="10" t="s">
        <v>46</v>
      </c>
    </row>
    <row r="516" spans="1:4" x14ac:dyDescent="0.25">
      <c r="A516" s="11">
        <v>1050</v>
      </c>
      <c r="B516" s="10" t="s">
        <v>37</v>
      </c>
      <c r="C516" s="10" t="s">
        <v>45</v>
      </c>
      <c r="D516" s="10" t="s">
        <v>46</v>
      </c>
    </row>
    <row r="517" spans="1:4" x14ac:dyDescent="0.25">
      <c r="A517" s="11">
        <v>1050</v>
      </c>
      <c r="B517" s="10" t="s">
        <v>37</v>
      </c>
      <c r="C517" s="10" t="s">
        <v>45</v>
      </c>
      <c r="D517" s="10" t="s">
        <v>46</v>
      </c>
    </row>
    <row r="518" spans="1:4" x14ac:dyDescent="0.25">
      <c r="A518" s="11">
        <v>1050</v>
      </c>
      <c r="B518" s="10" t="s">
        <v>37</v>
      </c>
      <c r="C518" s="10" t="s">
        <v>45</v>
      </c>
      <c r="D518" s="10" t="s">
        <v>46</v>
      </c>
    </row>
    <row r="519" spans="1:4" x14ac:dyDescent="0.25">
      <c r="A519" s="11">
        <v>1050</v>
      </c>
      <c r="B519" s="10" t="s">
        <v>37</v>
      </c>
      <c r="C519" s="10" t="s">
        <v>45</v>
      </c>
      <c r="D519" s="10" t="s">
        <v>46</v>
      </c>
    </row>
    <row r="520" spans="1:4" x14ac:dyDescent="0.25">
      <c r="A520" s="11">
        <v>1050</v>
      </c>
      <c r="B520" s="10" t="s">
        <v>37</v>
      </c>
      <c r="C520" s="10" t="s">
        <v>45</v>
      </c>
      <c r="D520" s="10" t="s">
        <v>46</v>
      </c>
    </row>
    <row r="521" spans="1:4" x14ac:dyDescent="0.25">
      <c r="A521" s="11">
        <v>1050</v>
      </c>
      <c r="B521" s="10" t="s">
        <v>37</v>
      </c>
      <c r="C521" s="10" t="s">
        <v>45</v>
      </c>
      <c r="D521" s="10" t="s">
        <v>46</v>
      </c>
    </row>
    <row r="522" spans="1:4" x14ac:dyDescent="0.25">
      <c r="A522" s="11">
        <v>1050</v>
      </c>
      <c r="B522" s="10" t="s">
        <v>37</v>
      </c>
      <c r="C522" s="10" t="s">
        <v>45</v>
      </c>
      <c r="D522" s="10" t="s">
        <v>46</v>
      </c>
    </row>
    <row r="523" spans="1:4" x14ac:dyDescent="0.25">
      <c r="A523" s="11">
        <v>1050</v>
      </c>
      <c r="B523" s="10" t="s">
        <v>37</v>
      </c>
      <c r="C523" s="10" t="s">
        <v>45</v>
      </c>
      <c r="D523" s="10" t="s">
        <v>46</v>
      </c>
    </row>
    <row r="524" spans="1:4" x14ac:dyDescent="0.25">
      <c r="A524" s="11">
        <v>1050</v>
      </c>
      <c r="B524" s="10" t="s">
        <v>37</v>
      </c>
      <c r="C524" s="10" t="s">
        <v>45</v>
      </c>
      <c r="D524" s="10" t="s">
        <v>46</v>
      </c>
    </row>
    <row r="525" spans="1:4" x14ac:dyDescent="0.25">
      <c r="A525" s="11">
        <v>1050</v>
      </c>
      <c r="B525" s="10" t="s">
        <v>37</v>
      </c>
      <c r="C525" s="10" t="s">
        <v>45</v>
      </c>
      <c r="D525" s="10" t="s">
        <v>46</v>
      </c>
    </row>
    <row r="526" spans="1:4" x14ac:dyDescent="0.25">
      <c r="A526" s="11">
        <v>1050</v>
      </c>
      <c r="B526" s="10" t="s">
        <v>37</v>
      </c>
      <c r="C526" s="10" t="s">
        <v>45</v>
      </c>
      <c r="D526" s="10" t="s">
        <v>46</v>
      </c>
    </row>
    <row r="527" spans="1:4" x14ac:dyDescent="0.25">
      <c r="A527" s="11">
        <v>1050</v>
      </c>
      <c r="B527" s="10" t="s">
        <v>37</v>
      </c>
      <c r="C527" s="10" t="s">
        <v>45</v>
      </c>
      <c r="D527" s="10" t="s">
        <v>46</v>
      </c>
    </row>
    <row r="528" spans="1:4" x14ac:dyDescent="0.25">
      <c r="A528" s="11">
        <v>1050</v>
      </c>
      <c r="B528" s="10" t="s">
        <v>37</v>
      </c>
      <c r="C528" s="10" t="s">
        <v>45</v>
      </c>
      <c r="D528" s="10" t="s">
        <v>46</v>
      </c>
    </row>
    <row r="529" spans="1:4" x14ac:dyDescent="0.25">
      <c r="A529" s="11">
        <v>1050</v>
      </c>
      <c r="B529" s="10" t="s">
        <v>37</v>
      </c>
      <c r="C529" s="10" t="s">
        <v>45</v>
      </c>
      <c r="D529" s="10" t="s">
        <v>46</v>
      </c>
    </row>
    <row r="530" spans="1:4" x14ac:dyDescent="0.25">
      <c r="A530" s="11">
        <v>1050</v>
      </c>
      <c r="B530" s="10" t="s">
        <v>37</v>
      </c>
      <c r="C530" s="10" t="s">
        <v>45</v>
      </c>
      <c r="D530" s="10" t="s">
        <v>46</v>
      </c>
    </row>
    <row r="531" spans="1:4" x14ac:dyDescent="0.25">
      <c r="A531" s="11">
        <v>1050</v>
      </c>
      <c r="B531" s="10" t="s">
        <v>37</v>
      </c>
      <c r="C531" s="10" t="s">
        <v>45</v>
      </c>
      <c r="D531" s="10" t="s">
        <v>46</v>
      </c>
    </row>
    <row r="532" spans="1:4" x14ac:dyDescent="0.25">
      <c r="A532" s="11">
        <v>1050</v>
      </c>
      <c r="B532" s="10" t="s">
        <v>37</v>
      </c>
      <c r="C532" s="10" t="s">
        <v>45</v>
      </c>
      <c r="D532" s="10" t="s">
        <v>46</v>
      </c>
    </row>
    <row r="533" spans="1:4" x14ac:dyDescent="0.25">
      <c r="A533" s="11">
        <v>1050</v>
      </c>
      <c r="B533" s="10" t="s">
        <v>37</v>
      </c>
      <c r="C533" s="10" t="s">
        <v>45</v>
      </c>
      <c r="D533" s="10" t="s">
        <v>46</v>
      </c>
    </row>
    <row r="534" spans="1:4" x14ac:dyDescent="0.25">
      <c r="A534" s="11">
        <v>1050</v>
      </c>
      <c r="B534" s="10" t="s">
        <v>37</v>
      </c>
      <c r="C534" s="10" t="s">
        <v>45</v>
      </c>
      <c r="D534" s="10" t="s">
        <v>46</v>
      </c>
    </row>
    <row r="535" spans="1:4" x14ac:dyDescent="0.25">
      <c r="A535" s="11">
        <v>1050</v>
      </c>
      <c r="B535" s="10" t="s">
        <v>37</v>
      </c>
      <c r="C535" s="10" t="s">
        <v>45</v>
      </c>
      <c r="D535" s="10" t="s">
        <v>46</v>
      </c>
    </row>
    <row r="536" spans="1:4" x14ac:dyDescent="0.25">
      <c r="A536" s="11">
        <v>1050</v>
      </c>
      <c r="B536" s="10" t="s">
        <v>37</v>
      </c>
      <c r="C536" s="10" t="s">
        <v>45</v>
      </c>
      <c r="D536" s="10" t="s">
        <v>46</v>
      </c>
    </row>
    <row r="537" spans="1:4" x14ac:dyDescent="0.25">
      <c r="A537" s="11">
        <v>1234</v>
      </c>
      <c r="B537" s="10" t="s">
        <v>37</v>
      </c>
      <c r="C537" s="10" t="s">
        <v>47</v>
      </c>
      <c r="D537" s="10" t="s">
        <v>46</v>
      </c>
    </row>
    <row r="538" spans="1:4" x14ac:dyDescent="0.25">
      <c r="A538" s="11">
        <v>1234</v>
      </c>
      <c r="B538" s="10" t="s">
        <v>37</v>
      </c>
      <c r="C538" s="10" t="s">
        <v>47</v>
      </c>
      <c r="D538" s="10" t="s">
        <v>46</v>
      </c>
    </row>
    <row r="539" spans="1:4" x14ac:dyDescent="0.25">
      <c r="A539" s="11">
        <v>1234</v>
      </c>
      <c r="B539" s="10" t="s">
        <v>37</v>
      </c>
      <c r="C539" s="10" t="s">
        <v>47</v>
      </c>
      <c r="D539" s="10" t="s">
        <v>46</v>
      </c>
    </row>
    <row r="540" spans="1:4" x14ac:dyDescent="0.25">
      <c r="A540" s="11">
        <v>1234</v>
      </c>
      <c r="B540" s="10" t="s">
        <v>37</v>
      </c>
      <c r="C540" s="10" t="s">
        <v>47</v>
      </c>
      <c r="D540" s="10" t="s">
        <v>46</v>
      </c>
    </row>
    <row r="541" spans="1:4" x14ac:dyDescent="0.25">
      <c r="A541" s="11">
        <v>1234</v>
      </c>
      <c r="B541" s="10" t="s">
        <v>37</v>
      </c>
      <c r="C541" s="10" t="s">
        <v>47</v>
      </c>
      <c r="D541" s="10" t="s">
        <v>46</v>
      </c>
    </row>
    <row r="542" spans="1:4" x14ac:dyDescent="0.25">
      <c r="A542" s="11">
        <v>1251</v>
      </c>
      <c r="B542" s="10" t="s">
        <v>37</v>
      </c>
      <c r="C542" s="10" t="s">
        <v>48</v>
      </c>
      <c r="D542" s="10" t="s">
        <v>39</v>
      </c>
    </row>
    <row r="543" spans="1:4" x14ac:dyDescent="0.25">
      <c r="A543" s="11">
        <v>1325</v>
      </c>
      <c r="B543" s="10" t="s">
        <v>37</v>
      </c>
      <c r="C543" s="10" t="s">
        <v>49</v>
      </c>
      <c r="D543" s="10" t="s">
        <v>50</v>
      </c>
    </row>
    <row r="544" spans="1:4" x14ac:dyDescent="0.25">
      <c r="A544" s="11">
        <v>1360</v>
      </c>
      <c r="B544" s="10" t="s">
        <v>37</v>
      </c>
      <c r="C544" s="10" t="s">
        <v>51</v>
      </c>
      <c r="D544" s="10" t="s">
        <v>43</v>
      </c>
    </row>
    <row r="545" spans="1:4" x14ac:dyDescent="0.25">
      <c r="A545" s="11">
        <v>1360</v>
      </c>
      <c r="B545" s="10" t="s">
        <v>37</v>
      </c>
      <c r="C545" s="10" t="s">
        <v>51</v>
      </c>
      <c r="D545" s="10" t="s">
        <v>43</v>
      </c>
    </row>
    <row r="546" spans="1:4" x14ac:dyDescent="0.25">
      <c r="A546" s="11">
        <v>1360</v>
      </c>
      <c r="B546" s="10" t="s">
        <v>37</v>
      </c>
      <c r="C546" s="10" t="s">
        <v>51</v>
      </c>
      <c r="D546" s="10" t="s">
        <v>43</v>
      </c>
    </row>
    <row r="547" spans="1:4" x14ac:dyDescent="0.25">
      <c r="A547" s="11">
        <v>1360</v>
      </c>
      <c r="B547" s="10" t="s">
        <v>37</v>
      </c>
      <c r="C547" s="10" t="s">
        <v>51</v>
      </c>
      <c r="D547" s="10" t="s">
        <v>43</v>
      </c>
    </row>
    <row r="548" spans="1:4" x14ac:dyDescent="0.25">
      <c r="A548" s="11">
        <v>1390</v>
      </c>
      <c r="B548" s="10" t="s">
        <v>37</v>
      </c>
      <c r="C548" s="10" t="s">
        <v>52</v>
      </c>
      <c r="D548" s="10" t="s">
        <v>53</v>
      </c>
    </row>
    <row r="549" spans="1:4" x14ac:dyDescent="0.25">
      <c r="A549" s="11">
        <v>1400</v>
      </c>
      <c r="B549" s="10" t="s">
        <v>37</v>
      </c>
      <c r="C549" s="10" t="s">
        <v>54</v>
      </c>
      <c r="D549" s="10" t="s">
        <v>55</v>
      </c>
    </row>
    <row r="550" spans="1:4" x14ac:dyDescent="0.25">
      <c r="A550" s="11">
        <v>1454</v>
      </c>
      <c r="B550" s="10" t="s">
        <v>37</v>
      </c>
      <c r="C550" s="10" t="s">
        <v>56</v>
      </c>
      <c r="D550" s="10" t="s">
        <v>57</v>
      </c>
    </row>
    <row r="551" spans="1:4" x14ac:dyDescent="0.25">
      <c r="A551" s="11">
        <v>1460</v>
      </c>
      <c r="B551" s="10" t="s">
        <v>37</v>
      </c>
      <c r="C551" s="10" t="s">
        <v>58</v>
      </c>
      <c r="D551" s="10" t="s">
        <v>59</v>
      </c>
    </row>
    <row r="552" spans="1:4" x14ac:dyDescent="0.25">
      <c r="A552" s="11">
        <v>1460</v>
      </c>
      <c r="B552" s="10" t="s">
        <v>37</v>
      </c>
      <c r="C552" s="10" t="s">
        <v>58</v>
      </c>
      <c r="D552" s="10" t="s">
        <v>59</v>
      </c>
    </row>
    <row r="553" spans="1:4" x14ac:dyDescent="0.25">
      <c r="A553" s="11">
        <v>1460</v>
      </c>
      <c r="B553" s="10" t="s">
        <v>37</v>
      </c>
      <c r="C553" s="10" t="s">
        <v>58</v>
      </c>
      <c r="D553" s="10" t="s">
        <v>59</v>
      </c>
    </row>
    <row r="554" spans="1:4" x14ac:dyDescent="0.25">
      <c r="A554" s="11">
        <v>1460</v>
      </c>
      <c r="B554" s="10" t="s">
        <v>37</v>
      </c>
      <c r="C554" s="10" t="s">
        <v>58</v>
      </c>
      <c r="D554" s="10" t="s">
        <v>59</v>
      </c>
    </row>
    <row r="555" spans="1:4" x14ac:dyDescent="0.25">
      <c r="A555" s="11">
        <v>1460</v>
      </c>
      <c r="B555" s="10" t="s">
        <v>37</v>
      </c>
      <c r="C555" s="10" t="s">
        <v>58</v>
      </c>
      <c r="D555" s="10" t="s">
        <v>59</v>
      </c>
    </row>
    <row r="556" spans="1:4" x14ac:dyDescent="0.25">
      <c r="A556" s="11">
        <v>1460</v>
      </c>
      <c r="B556" s="10" t="s">
        <v>37</v>
      </c>
      <c r="C556" s="10" t="s">
        <v>58</v>
      </c>
      <c r="D556" s="10" t="s">
        <v>59</v>
      </c>
    </row>
    <row r="557" spans="1:4" x14ac:dyDescent="0.25">
      <c r="A557" s="11">
        <v>1460</v>
      </c>
      <c r="B557" s="10" t="s">
        <v>37</v>
      </c>
      <c r="C557" s="10" t="s">
        <v>58</v>
      </c>
      <c r="D557" s="10" t="s">
        <v>59</v>
      </c>
    </row>
    <row r="558" spans="1:4" x14ac:dyDescent="0.25">
      <c r="A558" s="11">
        <v>1460</v>
      </c>
      <c r="B558" s="10" t="s">
        <v>37</v>
      </c>
      <c r="C558" s="10" t="s">
        <v>58</v>
      </c>
      <c r="D558" s="10" t="s">
        <v>59</v>
      </c>
    </row>
    <row r="559" spans="1:4" x14ac:dyDescent="0.25">
      <c r="A559" s="11">
        <v>1460</v>
      </c>
      <c r="B559" s="10" t="s">
        <v>37</v>
      </c>
      <c r="C559" s="10" t="s">
        <v>58</v>
      </c>
      <c r="D559" s="10" t="s">
        <v>59</v>
      </c>
    </row>
    <row r="560" spans="1:4" x14ac:dyDescent="0.25">
      <c r="A560" s="11">
        <v>1460</v>
      </c>
      <c r="B560" s="10" t="s">
        <v>37</v>
      </c>
      <c r="C560" s="10" t="s">
        <v>58</v>
      </c>
      <c r="D560" s="10" t="s">
        <v>59</v>
      </c>
    </row>
    <row r="561" spans="1:4" x14ac:dyDescent="0.25">
      <c r="A561" s="11">
        <v>1460</v>
      </c>
      <c r="B561" s="10" t="s">
        <v>37</v>
      </c>
      <c r="C561" s="10" t="s">
        <v>58</v>
      </c>
      <c r="D561" s="10" t="s">
        <v>59</v>
      </c>
    </row>
    <row r="562" spans="1:4" x14ac:dyDescent="0.25">
      <c r="A562" s="11">
        <v>1600</v>
      </c>
      <c r="B562" s="10" t="s">
        <v>37</v>
      </c>
      <c r="C562" s="10" t="s">
        <v>60</v>
      </c>
      <c r="D562" s="10" t="s">
        <v>61</v>
      </c>
    </row>
    <row r="563" spans="1:4" x14ac:dyDescent="0.25">
      <c r="A563" s="11">
        <v>1933</v>
      </c>
      <c r="B563" s="10" t="s">
        <v>37</v>
      </c>
      <c r="C563" s="10" t="s">
        <v>62</v>
      </c>
      <c r="D563" s="10" t="s">
        <v>63</v>
      </c>
    </row>
    <row r="564" spans="1:4" x14ac:dyDescent="0.25">
      <c r="A564" s="11">
        <v>2007</v>
      </c>
      <c r="B564" s="10" t="s">
        <v>37</v>
      </c>
      <c r="C564" s="10" t="s">
        <v>64</v>
      </c>
      <c r="D564" s="10" t="s">
        <v>65</v>
      </c>
    </row>
    <row r="565" spans="1:4" x14ac:dyDescent="0.25">
      <c r="A565" s="11">
        <v>2007</v>
      </c>
      <c r="B565" s="10" t="s">
        <v>37</v>
      </c>
      <c r="C565" s="10" t="s">
        <v>64</v>
      </c>
      <c r="D565" s="10" t="s">
        <v>65</v>
      </c>
    </row>
    <row r="566" spans="1:4" x14ac:dyDescent="0.25">
      <c r="A566" s="11">
        <v>2007</v>
      </c>
      <c r="B566" s="10" t="s">
        <v>37</v>
      </c>
      <c r="C566" s="10" t="s">
        <v>64</v>
      </c>
      <c r="D566" s="10" t="s">
        <v>65</v>
      </c>
    </row>
    <row r="567" spans="1:4" x14ac:dyDescent="0.25">
      <c r="A567" s="11">
        <v>2007</v>
      </c>
      <c r="B567" s="10" t="s">
        <v>37</v>
      </c>
      <c r="C567" s="10" t="s">
        <v>64</v>
      </c>
      <c r="D567" s="10" t="s">
        <v>65</v>
      </c>
    </row>
    <row r="568" spans="1:4" x14ac:dyDescent="0.25">
      <c r="A568" s="11">
        <v>2007</v>
      </c>
      <c r="B568" s="10" t="s">
        <v>37</v>
      </c>
      <c r="C568" s="10" t="s">
        <v>64</v>
      </c>
      <c r="D568" s="10" t="s">
        <v>65</v>
      </c>
    </row>
    <row r="569" spans="1:4" x14ac:dyDescent="0.25">
      <c r="A569" s="11">
        <v>2007</v>
      </c>
      <c r="B569" s="10" t="s">
        <v>37</v>
      </c>
      <c r="C569" s="10" t="s">
        <v>64</v>
      </c>
      <c r="D569" s="10" t="s">
        <v>65</v>
      </c>
    </row>
    <row r="570" spans="1:4" x14ac:dyDescent="0.25">
      <c r="A570" s="11">
        <v>2007</v>
      </c>
      <c r="B570" s="10" t="s">
        <v>37</v>
      </c>
      <c r="C570" s="10" t="s">
        <v>64</v>
      </c>
      <c r="D570" s="10" t="s">
        <v>65</v>
      </c>
    </row>
    <row r="571" spans="1:4" x14ac:dyDescent="0.25">
      <c r="A571" s="11">
        <v>2007</v>
      </c>
      <c r="B571" s="10" t="s">
        <v>37</v>
      </c>
      <c r="C571" s="10" t="s">
        <v>64</v>
      </c>
      <c r="D571" s="10" t="s">
        <v>65</v>
      </c>
    </row>
    <row r="572" spans="1:4" x14ac:dyDescent="0.25">
      <c r="A572" s="11">
        <v>2007</v>
      </c>
      <c r="B572" s="10" t="s">
        <v>37</v>
      </c>
      <c r="C572" s="10" t="s">
        <v>64</v>
      </c>
      <c r="D572" s="10" t="s">
        <v>65</v>
      </c>
    </row>
    <row r="573" spans="1:4" x14ac:dyDescent="0.25">
      <c r="A573" s="11">
        <v>2007</v>
      </c>
      <c r="B573" s="10" t="s">
        <v>37</v>
      </c>
      <c r="C573" s="10" t="s">
        <v>64</v>
      </c>
      <c r="D573" s="10" t="s">
        <v>65</v>
      </c>
    </row>
    <row r="574" spans="1:4" x14ac:dyDescent="0.25">
      <c r="A574" s="11">
        <v>2007</v>
      </c>
      <c r="B574" s="10" t="s">
        <v>37</v>
      </c>
      <c r="C574" s="10" t="s">
        <v>64</v>
      </c>
      <c r="D574" s="10" t="s">
        <v>65</v>
      </c>
    </row>
    <row r="575" spans="1:4" x14ac:dyDescent="0.25">
      <c r="A575" s="11">
        <v>2130</v>
      </c>
      <c r="B575" s="10" t="s">
        <v>37</v>
      </c>
      <c r="C575" s="10" t="s">
        <v>66</v>
      </c>
      <c r="D575" s="10" t="s">
        <v>67</v>
      </c>
    </row>
    <row r="576" spans="1:4" x14ac:dyDescent="0.25">
      <c r="A576" s="11">
        <v>2130</v>
      </c>
      <c r="B576" s="10" t="s">
        <v>37</v>
      </c>
      <c r="C576" s="10" t="s">
        <v>66</v>
      </c>
      <c r="D576" s="10" t="s">
        <v>67</v>
      </c>
    </row>
    <row r="577" spans="1:4" x14ac:dyDescent="0.25">
      <c r="A577" s="11">
        <v>2130</v>
      </c>
      <c r="B577" s="10" t="s">
        <v>37</v>
      </c>
      <c r="C577" s="10" t="s">
        <v>66</v>
      </c>
      <c r="D577" s="10" t="s">
        <v>67</v>
      </c>
    </row>
    <row r="578" spans="1:4" x14ac:dyDescent="0.25">
      <c r="A578" s="11">
        <v>2130</v>
      </c>
      <c r="B578" s="10" t="s">
        <v>37</v>
      </c>
      <c r="C578" s="10" t="s">
        <v>66</v>
      </c>
      <c r="D578" s="10" t="s">
        <v>67</v>
      </c>
    </row>
    <row r="579" spans="1:4" x14ac:dyDescent="0.25">
      <c r="A579" s="11">
        <v>2130</v>
      </c>
      <c r="B579" s="10" t="s">
        <v>37</v>
      </c>
      <c r="C579" s="10" t="s">
        <v>66</v>
      </c>
      <c r="D579" s="10" t="s">
        <v>67</v>
      </c>
    </row>
    <row r="580" spans="1:4" x14ac:dyDescent="0.25">
      <c r="A580" s="11">
        <v>2130</v>
      </c>
      <c r="B580" s="10" t="s">
        <v>37</v>
      </c>
      <c r="C580" s="10" t="s">
        <v>66</v>
      </c>
      <c r="D580" s="10" t="s">
        <v>67</v>
      </c>
    </row>
    <row r="581" spans="1:4" x14ac:dyDescent="0.25">
      <c r="A581" s="11">
        <v>2130</v>
      </c>
      <c r="B581" s="10" t="s">
        <v>37</v>
      </c>
      <c r="C581" s="10" t="s">
        <v>66</v>
      </c>
      <c r="D581" s="10" t="s">
        <v>67</v>
      </c>
    </row>
    <row r="582" spans="1:4" x14ac:dyDescent="0.25">
      <c r="A582" s="11">
        <v>2130</v>
      </c>
      <c r="B582" s="10" t="s">
        <v>37</v>
      </c>
      <c r="C582" s="10" t="s">
        <v>66</v>
      </c>
      <c r="D582" s="10" t="s">
        <v>67</v>
      </c>
    </row>
    <row r="583" spans="1:4" x14ac:dyDescent="0.25">
      <c r="A583" s="11">
        <v>2130</v>
      </c>
      <c r="B583" s="10" t="s">
        <v>37</v>
      </c>
      <c r="C583" s="10" t="s">
        <v>66</v>
      </c>
      <c r="D583" s="10" t="s">
        <v>67</v>
      </c>
    </row>
    <row r="584" spans="1:4" x14ac:dyDescent="0.25">
      <c r="A584" s="11">
        <v>2130</v>
      </c>
      <c r="B584" s="10" t="s">
        <v>37</v>
      </c>
      <c r="C584" s="10" t="s">
        <v>66</v>
      </c>
      <c r="D584" s="10" t="s">
        <v>67</v>
      </c>
    </row>
    <row r="585" spans="1:4" x14ac:dyDescent="0.25">
      <c r="A585" s="11">
        <v>2141</v>
      </c>
      <c r="B585" s="10" t="s">
        <v>37</v>
      </c>
      <c r="C585" s="10" t="s">
        <v>68</v>
      </c>
      <c r="D585" s="10" t="s">
        <v>67</v>
      </c>
    </row>
    <row r="586" spans="1:4" x14ac:dyDescent="0.25">
      <c r="A586" s="11">
        <v>2141</v>
      </c>
      <c r="B586" s="10" t="s">
        <v>37</v>
      </c>
      <c r="C586" s="10" t="s">
        <v>68</v>
      </c>
      <c r="D586" s="10" t="s">
        <v>67</v>
      </c>
    </row>
    <row r="587" spans="1:4" x14ac:dyDescent="0.25">
      <c r="A587" s="11">
        <v>2141</v>
      </c>
      <c r="B587" s="10" t="s">
        <v>37</v>
      </c>
      <c r="C587" s="10" t="s">
        <v>68</v>
      </c>
      <c r="D587" s="10" t="s">
        <v>67</v>
      </c>
    </row>
    <row r="588" spans="1:4" x14ac:dyDescent="0.25">
      <c r="A588" s="11">
        <v>2200</v>
      </c>
      <c r="B588" s="10" t="s">
        <v>37</v>
      </c>
      <c r="C588" s="10" t="s">
        <v>69</v>
      </c>
      <c r="D588" s="10" t="s">
        <v>61</v>
      </c>
    </row>
    <row r="589" spans="1:4" x14ac:dyDescent="0.25">
      <c r="A589" s="11">
        <v>2200</v>
      </c>
      <c r="B589" s="10" t="s">
        <v>37</v>
      </c>
      <c r="C589" s="10" t="s">
        <v>69</v>
      </c>
      <c r="D589" s="10" t="s">
        <v>61</v>
      </c>
    </row>
    <row r="590" spans="1:4" x14ac:dyDescent="0.25">
      <c r="A590" s="11">
        <v>2200</v>
      </c>
      <c r="B590" s="10" t="s">
        <v>37</v>
      </c>
      <c r="C590" s="10" t="s">
        <v>69</v>
      </c>
      <c r="D590" s="10" t="s">
        <v>61</v>
      </c>
    </row>
    <row r="591" spans="1:4" x14ac:dyDescent="0.25">
      <c r="A591" s="11">
        <v>2200</v>
      </c>
      <c r="B591" s="10" t="s">
        <v>37</v>
      </c>
      <c r="C591" s="10" t="s">
        <v>69</v>
      </c>
      <c r="D591" s="10" t="s">
        <v>61</v>
      </c>
    </row>
    <row r="592" spans="1:4" x14ac:dyDescent="0.25">
      <c r="A592" s="11">
        <v>2200</v>
      </c>
      <c r="B592" s="10" t="s">
        <v>37</v>
      </c>
      <c r="C592" s="10" t="s">
        <v>69</v>
      </c>
      <c r="D592" s="10" t="s">
        <v>61</v>
      </c>
    </row>
    <row r="593" spans="1:4" x14ac:dyDescent="0.25">
      <c r="A593" s="11">
        <v>2200</v>
      </c>
      <c r="B593" s="10" t="s">
        <v>37</v>
      </c>
      <c r="C593" s="10" t="s">
        <v>69</v>
      </c>
      <c r="D593" s="10" t="s">
        <v>61</v>
      </c>
    </row>
    <row r="594" spans="1:4" x14ac:dyDescent="0.25">
      <c r="A594" s="11">
        <v>2200</v>
      </c>
      <c r="B594" s="10" t="s">
        <v>37</v>
      </c>
      <c r="C594" s="10" t="s">
        <v>69</v>
      </c>
      <c r="D594" s="10" t="s">
        <v>61</v>
      </c>
    </row>
    <row r="595" spans="1:4" x14ac:dyDescent="0.25">
      <c r="A595" s="11">
        <v>3450</v>
      </c>
      <c r="B595" s="10" t="s">
        <v>37</v>
      </c>
      <c r="C595" s="10" t="s">
        <v>70</v>
      </c>
      <c r="D595" s="10" t="s">
        <v>39</v>
      </c>
    </row>
    <row r="596" spans="1:4" x14ac:dyDescent="0.25">
      <c r="A596" s="11">
        <v>3450</v>
      </c>
      <c r="B596" s="10" t="s">
        <v>37</v>
      </c>
      <c r="C596" s="10" t="s">
        <v>70</v>
      </c>
      <c r="D596" s="10" t="s">
        <v>39</v>
      </c>
    </row>
    <row r="597" spans="1:4" x14ac:dyDescent="0.25">
      <c r="A597" s="11">
        <v>3454</v>
      </c>
      <c r="B597" s="10" t="s">
        <v>37</v>
      </c>
      <c r="C597" s="10" t="s">
        <v>71</v>
      </c>
      <c r="D597" s="10" t="s">
        <v>39</v>
      </c>
    </row>
    <row r="598" spans="1:4" x14ac:dyDescent="0.25">
      <c r="A598" s="11">
        <v>3454</v>
      </c>
      <c r="B598" s="10" t="s">
        <v>37</v>
      </c>
      <c r="C598" s="10" t="s">
        <v>71</v>
      </c>
      <c r="D598" s="10" t="s">
        <v>39</v>
      </c>
    </row>
    <row r="599" spans="1:4" x14ac:dyDescent="0.25">
      <c r="A599" s="11">
        <v>3454</v>
      </c>
      <c r="B599" s="10" t="s">
        <v>37</v>
      </c>
      <c r="C599" s="10" t="s">
        <v>71</v>
      </c>
      <c r="D599" s="10" t="s">
        <v>39</v>
      </c>
    </row>
    <row r="600" spans="1:4" x14ac:dyDescent="0.25">
      <c r="A600" s="11">
        <v>3454</v>
      </c>
      <c r="B600" s="10" t="s">
        <v>37</v>
      </c>
      <c r="C600" s="10" t="s">
        <v>71</v>
      </c>
      <c r="D600" s="10" t="s">
        <v>39</v>
      </c>
    </row>
    <row r="601" spans="1:4" x14ac:dyDescent="0.25">
      <c r="A601" s="11">
        <v>3454</v>
      </c>
      <c r="B601" s="10" t="s">
        <v>37</v>
      </c>
      <c r="C601" s="10" t="s">
        <v>71</v>
      </c>
      <c r="D601" s="10" t="s">
        <v>39</v>
      </c>
    </row>
    <row r="602" spans="1:4" x14ac:dyDescent="0.25">
      <c r="A602" s="11">
        <v>3454</v>
      </c>
      <c r="B602" s="10" t="s">
        <v>37</v>
      </c>
      <c r="C602" s="10" t="s">
        <v>71</v>
      </c>
      <c r="D602" s="10" t="s">
        <v>39</v>
      </c>
    </row>
    <row r="603" spans="1:4" x14ac:dyDescent="0.25">
      <c r="A603" s="11">
        <v>3454</v>
      </c>
      <c r="B603" s="10" t="s">
        <v>37</v>
      </c>
      <c r="C603" s="10" t="s">
        <v>71</v>
      </c>
      <c r="D603" s="10" t="s">
        <v>39</v>
      </c>
    </row>
    <row r="604" spans="1:4" x14ac:dyDescent="0.25">
      <c r="A604" s="11">
        <v>3454</v>
      </c>
      <c r="B604" s="10" t="s">
        <v>37</v>
      </c>
      <c r="C604" s="10" t="s">
        <v>71</v>
      </c>
      <c r="D604" s="10" t="s">
        <v>39</v>
      </c>
    </row>
    <row r="605" spans="1:4" x14ac:dyDescent="0.25">
      <c r="A605" s="11">
        <v>3454</v>
      </c>
      <c r="B605" s="10" t="s">
        <v>37</v>
      </c>
      <c r="C605" s="10" t="s">
        <v>71</v>
      </c>
      <c r="D605" s="10" t="s">
        <v>39</v>
      </c>
    </row>
    <row r="606" spans="1:4" x14ac:dyDescent="0.25">
      <c r="A606" s="11">
        <v>3460</v>
      </c>
      <c r="B606" s="10" t="s">
        <v>37</v>
      </c>
      <c r="C606" s="10" t="s">
        <v>72</v>
      </c>
      <c r="D606" s="10" t="s">
        <v>39</v>
      </c>
    </row>
    <row r="607" spans="1:4" x14ac:dyDescent="0.25">
      <c r="A607" s="11">
        <v>3460</v>
      </c>
      <c r="B607" s="10" t="s">
        <v>37</v>
      </c>
      <c r="C607" s="10" t="s">
        <v>72</v>
      </c>
      <c r="D607" s="10" t="s">
        <v>39</v>
      </c>
    </row>
    <row r="608" spans="1:4" x14ac:dyDescent="0.25">
      <c r="A608" s="11">
        <v>3460</v>
      </c>
      <c r="B608" s="10" t="s">
        <v>37</v>
      </c>
      <c r="C608" s="10" t="s">
        <v>72</v>
      </c>
      <c r="D608" s="10" t="s">
        <v>39</v>
      </c>
    </row>
    <row r="609" spans="1:4" x14ac:dyDescent="0.25">
      <c r="A609" s="11">
        <v>3460</v>
      </c>
      <c r="B609" s="10" t="s">
        <v>37</v>
      </c>
      <c r="C609" s="10" t="s">
        <v>72</v>
      </c>
      <c r="D609" s="10" t="s">
        <v>39</v>
      </c>
    </row>
    <row r="610" spans="1:4" x14ac:dyDescent="0.25">
      <c r="A610" s="11">
        <v>3463</v>
      </c>
      <c r="B610" s="10" t="s">
        <v>37</v>
      </c>
      <c r="C610" s="10" t="s">
        <v>73</v>
      </c>
      <c r="D610" s="10" t="s">
        <v>39</v>
      </c>
    </row>
    <row r="611" spans="1:4" x14ac:dyDescent="0.25">
      <c r="A611" s="11">
        <v>3463</v>
      </c>
      <c r="B611" s="10" t="s">
        <v>37</v>
      </c>
      <c r="C611" s="10" t="s">
        <v>73</v>
      </c>
      <c r="D611" s="10" t="s">
        <v>39</v>
      </c>
    </row>
    <row r="612" spans="1:4" x14ac:dyDescent="0.25">
      <c r="A612" s="11">
        <v>3463</v>
      </c>
      <c r="B612" s="10" t="s">
        <v>37</v>
      </c>
      <c r="C612" s="10" t="s">
        <v>73</v>
      </c>
      <c r="D612" s="10" t="s">
        <v>39</v>
      </c>
    </row>
    <row r="613" spans="1:4" x14ac:dyDescent="0.25">
      <c r="A613" s="11">
        <v>3464</v>
      </c>
      <c r="B613" s="10" t="s">
        <v>37</v>
      </c>
      <c r="C613" s="10" t="s">
        <v>74</v>
      </c>
      <c r="D613" s="10" t="s">
        <v>46</v>
      </c>
    </row>
    <row r="614" spans="1:4" x14ac:dyDescent="0.25">
      <c r="A614" s="11">
        <v>3465</v>
      </c>
      <c r="B614" s="10" t="s">
        <v>37</v>
      </c>
      <c r="C614" s="10" t="s">
        <v>75</v>
      </c>
      <c r="D614" s="10" t="s">
        <v>46</v>
      </c>
    </row>
    <row r="615" spans="1:4" x14ac:dyDescent="0.25">
      <c r="A615" s="11">
        <v>3466</v>
      </c>
      <c r="B615" s="10" t="s">
        <v>37</v>
      </c>
      <c r="C615" s="10" t="s">
        <v>76</v>
      </c>
      <c r="D615" s="10" t="s">
        <v>46</v>
      </c>
    </row>
    <row r="616" spans="1:4" x14ac:dyDescent="0.25">
      <c r="A616" s="11">
        <v>3467</v>
      </c>
      <c r="B616" s="10" t="s">
        <v>37</v>
      </c>
      <c r="C616" s="10" t="s">
        <v>77</v>
      </c>
      <c r="D616" s="10" t="s">
        <v>46</v>
      </c>
    </row>
    <row r="617" spans="1:4" x14ac:dyDescent="0.25">
      <c r="A617" s="11">
        <v>3468</v>
      </c>
      <c r="B617" s="10" t="s">
        <v>37</v>
      </c>
      <c r="C617" s="10" t="s">
        <v>78</v>
      </c>
      <c r="D617" s="10" t="s">
        <v>46</v>
      </c>
    </row>
    <row r="618" spans="1:4" x14ac:dyDescent="0.25">
      <c r="A618" s="11">
        <v>3469</v>
      </c>
      <c r="B618" s="10" t="s">
        <v>37</v>
      </c>
      <c r="C618" s="10" t="s">
        <v>79</v>
      </c>
      <c r="D618" s="10" t="s">
        <v>46</v>
      </c>
    </row>
    <row r="619" spans="1:4" x14ac:dyDescent="0.25">
      <c r="A619" s="11">
        <v>3470</v>
      </c>
      <c r="B619" s="10" t="s">
        <v>37</v>
      </c>
      <c r="C619" s="10" t="s">
        <v>80</v>
      </c>
      <c r="D619" s="10" t="s">
        <v>46</v>
      </c>
    </row>
    <row r="620" spans="1:4" x14ac:dyDescent="0.25">
      <c r="A620" s="11">
        <v>3471</v>
      </c>
      <c r="B620" s="10" t="s">
        <v>37</v>
      </c>
      <c r="C620" s="10" t="s">
        <v>81</v>
      </c>
      <c r="D620" s="10" t="s">
        <v>46</v>
      </c>
    </row>
    <row r="621" spans="1:4" x14ac:dyDescent="0.25">
      <c r="A621" s="11">
        <v>3473</v>
      </c>
      <c r="B621" s="10" t="s">
        <v>37</v>
      </c>
      <c r="C621" s="10" t="s">
        <v>82</v>
      </c>
      <c r="D621" s="10" t="s">
        <v>46</v>
      </c>
    </row>
    <row r="622" spans="1:4" x14ac:dyDescent="0.25">
      <c r="A622" s="11">
        <v>3474</v>
      </c>
      <c r="B622" s="10" t="s">
        <v>37</v>
      </c>
      <c r="C622" s="10" t="s">
        <v>83</v>
      </c>
      <c r="D622" s="10" t="s">
        <v>39</v>
      </c>
    </row>
    <row r="623" spans="1:4" x14ac:dyDescent="0.25">
      <c r="A623" s="11">
        <v>3477</v>
      </c>
      <c r="B623" s="10" t="s">
        <v>37</v>
      </c>
      <c r="C623" s="10" t="s">
        <v>84</v>
      </c>
      <c r="D623" s="10" t="s">
        <v>39</v>
      </c>
    </row>
    <row r="624" spans="1:4" x14ac:dyDescent="0.25">
      <c r="A624" s="11">
        <v>3477</v>
      </c>
      <c r="B624" s="10" t="s">
        <v>37</v>
      </c>
      <c r="C624" s="10" t="s">
        <v>84</v>
      </c>
      <c r="D624" s="10" t="s">
        <v>39</v>
      </c>
    </row>
    <row r="625" spans="1:4" x14ac:dyDescent="0.25">
      <c r="A625" s="11">
        <v>3477</v>
      </c>
      <c r="B625" s="10" t="s">
        <v>37</v>
      </c>
      <c r="C625" s="10" t="s">
        <v>84</v>
      </c>
      <c r="D625" s="10" t="s">
        <v>39</v>
      </c>
    </row>
    <row r="626" spans="1:4" x14ac:dyDescent="0.25">
      <c r="A626" s="11">
        <v>3477</v>
      </c>
      <c r="B626" s="10" t="s">
        <v>37</v>
      </c>
      <c r="C626" s="10" t="s">
        <v>84</v>
      </c>
      <c r="D626" s="10" t="s">
        <v>39</v>
      </c>
    </row>
    <row r="627" spans="1:4" x14ac:dyDescent="0.25">
      <c r="A627" s="11">
        <v>3477</v>
      </c>
      <c r="B627" s="10" t="s">
        <v>37</v>
      </c>
      <c r="C627" s="10" t="s">
        <v>84</v>
      </c>
      <c r="D627" s="10" t="s">
        <v>39</v>
      </c>
    </row>
    <row r="628" spans="1:4" x14ac:dyDescent="0.25">
      <c r="A628" s="11">
        <v>3477</v>
      </c>
      <c r="B628" s="10" t="s">
        <v>37</v>
      </c>
      <c r="C628" s="10" t="s">
        <v>84</v>
      </c>
      <c r="D628" s="10" t="s">
        <v>39</v>
      </c>
    </row>
    <row r="629" spans="1:4" x14ac:dyDescent="0.25">
      <c r="A629" s="11">
        <v>3477</v>
      </c>
      <c r="B629" s="10" t="s">
        <v>37</v>
      </c>
      <c r="C629" s="10" t="s">
        <v>84</v>
      </c>
      <c r="D629" s="10" t="s">
        <v>39</v>
      </c>
    </row>
    <row r="630" spans="1:4" x14ac:dyDescent="0.25">
      <c r="A630" s="11">
        <v>3477</v>
      </c>
      <c r="B630" s="10" t="s">
        <v>37</v>
      </c>
      <c r="C630" s="10" t="s">
        <v>84</v>
      </c>
      <c r="D630" s="10" t="s">
        <v>39</v>
      </c>
    </row>
    <row r="631" spans="1:4" x14ac:dyDescent="0.25">
      <c r="A631" s="11">
        <v>3477</v>
      </c>
      <c r="B631" s="10" t="s">
        <v>37</v>
      </c>
      <c r="C631" s="10" t="s">
        <v>84</v>
      </c>
      <c r="D631" s="10" t="s">
        <v>39</v>
      </c>
    </row>
    <row r="632" spans="1:4" x14ac:dyDescent="0.25">
      <c r="A632" s="11">
        <v>3477</v>
      </c>
      <c r="B632" s="10" t="s">
        <v>37</v>
      </c>
      <c r="C632" s="10" t="s">
        <v>84</v>
      </c>
      <c r="D632" s="10" t="s">
        <v>39</v>
      </c>
    </row>
    <row r="633" spans="1:4" x14ac:dyDescent="0.25">
      <c r="A633" s="11">
        <v>4999</v>
      </c>
      <c r="B633" s="10" t="s">
        <v>37</v>
      </c>
      <c r="C633" s="10" t="s">
        <v>85</v>
      </c>
      <c r="D633" s="10" t="s">
        <v>86</v>
      </c>
    </row>
    <row r="634" spans="1:4" x14ac:dyDescent="0.25">
      <c r="A634" s="11">
        <v>8886</v>
      </c>
      <c r="B634" s="10" t="s">
        <v>37</v>
      </c>
      <c r="C634" s="10" t="s">
        <v>87</v>
      </c>
      <c r="D634" s="10" t="s">
        <v>88</v>
      </c>
    </row>
    <row r="635" spans="1:4" x14ac:dyDescent="0.25">
      <c r="A635" s="11">
        <v>8888</v>
      </c>
      <c r="B635" s="10" t="s">
        <v>37</v>
      </c>
      <c r="C635" s="10" t="s">
        <v>89</v>
      </c>
      <c r="D635" s="10" t="s">
        <v>50</v>
      </c>
    </row>
    <row r="636" spans="1:4" x14ac:dyDescent="0.25">
      <c r="A636" s="11">
        <v>8888</v>
      </c>
      <c r="B636" s="10" t="s">
        <v>37</v>
      </c>
      <c r="C636" s="10" t="s">
        <v>89</v>
      </c>
      <c r="D636" s="10" t="s">
        <v>50</v>
      </c>
    </row>
    <row r="637" spans="1:4" x14ac:dyDescent="0.25">
      <c r="A637" s="11">
        <v>8888</v>
      </c>
      <c r="B637" s="10" t="s">
        <v>37</v>
      </c>
      <c r="C637" s="10" t="s">
        <v>89</v>
      </c>
      <c r="D637" s="10" t="s">
        <v>50</v>
      </c>
    </row>
    <row r="638" spans="1:4" x14ac:dyDescent="0.25">
      <c r="A638" s="11">
        <v>8888</v>
      </c>
      <c r="B638" s="10" t="s">
        <v>37</v>
      </c>
      <c r="C638" s="10" t="s">
        <v>89</v>
      </c>
      <c r="D638" s="10" t="s">
        <v>50</v>
      </c>
    </row>
    <row r="639" spans="1:4" x14ac:dyDescent="0.25">
      <c r="A639" s="11">
        <v>8888</v>
      </c>
      <c r="B639" s="10" t="s">
        <v>37</v>
      </c>
      <c r="C639" s="10" t="s">
        <v>89</v>
      </c>
      <c r="D639" s="10" t="s">
        <v>50</v>
      </c>
    </row>
    <row r="640" spans="1:4" x14ac:dyDescent="0.25">
      <c r="A640" s="11">
        <v>8888</v>
      </c>
      <c r="B640" s="10" t="s">
        <v>37</v>
      </c>
      <c r="C640" s="10" t="s">
        <v>89</v>
      </c>
      <c r="D640" s="10" t="s">
        <v>50</v>
      </c>
    </row>
    <row r="641" spans="1:4" x14ac:dyDescent="0.25">
      <c r="A641" s="11">
        <v>13000</v>
      </c>
      <c r="B641" s="10" t="s">
        <v>37</v>
      </c>
      <c r="C641" s="10" t="s">
        <v>90</v>
      </c>
      <c r="D641" s="10" t="s">
        <v>46</v>
      </c>
    </row>
    <row r="642" spans="1:4" x14ac:dyDescent="0.25">
      <c r="A642" s="11">
        <v>13000</v>
      </c>
      <c r="B642" s="10" t="s">
        <v>37</v>
      </c>
      <c r="C642" s="10" t="s">
        <v>90</v>
      </c>
      <c r="D642" s="10" t="s">
        <v>46</v>
      </c>
    </row>
    <row r="643" spans="1:4" x14ac:dyDescent="0.25">
      <c r="A643" s="11">
        <v>13000</v>
      </c>
      <c r="B643" s="10" t="s">
        <v>37</v>
      </c>
      <c r="C643" s="10" t="s">
        <v>90</v>
      </c>
      <c r="D643" s="10" t="s">
        <v>46</v>
      </c>
    </row>
    <row r="644" spans="1:4" x14ac:dyDescent="0.25">
      <c r="A644" s="11">
        <v>13004</v>
      </c>
      <c r="B644" s="10" t="s">
        <v>37</v>
      </c>
      <c r="C644" s="10" t="s">
        <v>91</v>
      </c>
      <c r="D644" s="10" t="s">
        <v>46</v>
      </c>
    </row>
    <row r="645" spans="1:4" x14ac:dyDescent="0.25">
      <c r="A645" s="11">
        <v>13007</v>
      </c>
      <c r="B645" s="10" t="s">
        <v>92</v>
      </c>
      <c r="C645" s="10" t="s">
        <v>93</v>
      </c>
      <c r="D645" s="10" t="s">
        <v>94</v>
      </c>
    </row>
    <row r="646" spans="1:4" x14ac:dyDescent="0.25">
      <c r="A646" s="11">
        <v>13007</v>
      </c>
      <c r="B646" s="10" t="s">
        <v>92</v>
      </c>
      <c r="C646" s="10" t="s">
        <v>93</v>
      </c>
      <c r="D646" s="10" t="s">
        <v>94</v>
      </c>
    </row>
    <row r="647" spans="1:4" x14ac:dyDescent="0.25">
      <c r="A647" s="11">
        <v>10004</v>
      </c>
      <c r="B647" s="10" t="s">
        <v>37</v>
      </c>
      <c r="C647" s="10" t="s">
        <v>95</v>
      </c>
      <c r="D647" s="10" t="s">
        <v>96</v>
      </c>
    </row>
    <row r="648" spans="1:4" x14ac:dyDescent="0.25">
      <c r="A648" s="11">
        <v>10004</v>
      </c>
      <c r="B648" s="10" t="s">
        <v>37</v>
      </c>
      <c r="C648" s="10" t="s">
        <v>95</v>
      </c>
      <c r="D648" s="10" t="s">
        <v>96</v>
      </c>
    </row>
    <row r="649" spans="1:4" x14ac:dyDescent="0.25">
      <c r="A649" s="11">
        <v>10004</v>
      </c>
      <c r="B649" s="10" t="s">
        <v>37</v>
      </c>
      <c r="C649" s="10" t="s">
        <v>95</v>
      </c>
      <c r="D649" s="10" t="s">
        <v>96</v>
      </c>
    </row>
    <row r="650" spans="1:4" x14ac:dyDescent="0.25">
      <c r="A650" s="11">
        <v>10004</v>
      </c>
      <c r="B650" s="10" t="s">
        <v>37</v>
      </c>
      <c r="C650" s="10" t="s">
        <v>95</v>
      </c>
      <c r="D650" s="10" t="s">
        <v>96</v>
      </c>
    </row>
    <row r="651" spans="1:4" x14ac:dyDescent="0.25">
      <c r="A651" s="11">
        <v>10004</v>
      </c>
      <c r="B651" s="10" t="s">
        <v>37</v>
      </c>
      <c r="C651" s="10" t="s">
        <v>95</v>
      </c>
      <c r="D651" s="10" t="s">
        <v>96</v>
      </c>
    </row>
    <row r="652" spans="1:4" x14ac:dyDescent="0.25">
      <c r="A652" s="11">
        <v>10004</v>
      </c>
      <c r="B652" s="10" t="s">
        <v>37</v>
      </c>
      <c r="C652" s="10" t="s">
        <v>95</v>
      </c>
      <c r="D652" s="10" t="s">
        <v>96</v>
      </c>
    </row>
    <row r="653" spans="1:4" x14ac:dyDescent="0.25">
      <c r="A653" s="11">
        <v>10005</v>
      </c>
      <c r="B653" s="10" t="s">
        <v>97</v>
      </c>
      <c r="C653" s="10" t="s">
        <v>98</v>
      </c>
      <c r="D653" s="10" t="s">
        <v>99</v>
      </c>
    </row>
    <row r="654" spans="1:4" x14ac:dyDescent="0.25">
      <c r="A654" s="11">
        <v>10005</v>
      </c>
      <c r="B654" s="10" t="s">
        <v>97</v>
      </c>
      <c r="C654" s="10" t="s">
        <v>98</v>
      </c>
      <c r="D654" s="10" t="s">
        <v>99</v>
      </c>
    </row>
    <row r="655" spans="1:4" x14ac:dyDescent="0.25">
      <c r="A655" s="11">
        <v>10005</v>
      </c>
      <c r="B655" s="10" t="s">
        <v>97</v>
      </c>
      <c r="C655" s="10" t="s">
        <v>98</v>
      </c>
      <c r="D655" s="10" t="s">
        <v>99</v>
      </c>
    </row>
    <row r="656" spans="1:4" x14ac:dyDescent="0.25">
      <c r="A656" s="11">
        <v>1600</v>
      </c>
      <c r="B656" s="10" t="s">
        <v>37</v>
      </c>
      <c r="C656" s="10" t="s">
        <v>60</v>
      </c>
      <c r="D656" s="10" t="s">
        <v>61</v>
      </c>
    </row>
    <row r="657" spans="1:4" x14ac:dyDescent="0.25">
      <c r="A657" s="11">
        <v>1600</v>
      </c>
      <c r="B657" s="10" t="s">
        <v>37</v>
      </c>
      <c r="C657" s="10" t="s">
        <v>60</v>
      </c>
      <c r="D657" s="10" t="s">
        <v>61</v>
      </c>
    </row>
    <row r="658" spans="1:4" x14ac:dyDescent="0.25">
      <c r="A658" s="11">
        <v>1600</v>
      </c>
      <c r="B658" s="10" t="s">
        <v>37</v>
      </c>
      <c r="C658" s="10" t="s">
        <v>60</v>
      </c>
      <c r="D658" s="10" t="s">
        <v>61</v>
      </c>
    </row>
    <row r="659" spans="1:4" x14ac:dyDescent="0.25">
      <c r="A659" s="11">
        <v>1600</v>
      </c>
      <c r="B659" s="10" t="s">
        <v>37</v>
      </c>
      <c r="C659" s="10" t="s">
        <v>60</v>
      </c>
      <c r="D659" s="10" t="s">
        <v>61</v>
      </c>
    </row>
    <row r="660" spans="1:4" x14ac:dyDescent="0.25">
      <c r="A660" s="11">
        <v>1600</v>
      </c>
      <c r="B660" s="10" t="s">
        <v>37</v>
      </c>
      <c r="C660" s="10" t="s">
        <v>60</v>
      </c>
      <c r="D660" s="10" t="s">
        <v>61</v>
      </c>
    </row>
    <row r="661" spans="1:4" x14ac:dyDescent="0.25">
      <c r="A661" s="11">
        <v>3454</v>
      </c>
      <c r="B661" s="10" t="s">
        <v>37</v>
      </c>
      <c r="C661" s="10" t="s">
        <v>71</v>
      </c>
      <c r="D661" s="10" t="s">
        <v>39</v>
      </c>
    </row>
    <row r="662" spans="1:4" x14ac:dyDescent="0.25">
      <c r="A662" s="11">
        <v>3454</v>
      </c>
      <c r="B662" s="10" t="s">
        <v>37</v>
      </c>
      <c r="C662" s="10" t="s">
        <v>71</v>
      </c>
      <c r="D662" s="10" t="s">
        <v>39</v>
      </c>
    </row>
    <row r="663" spans="1:4" x14ac:dyDescent="0.25">
      <c r="A663" s="11">
        <v>3454</v>
      </c>
      <c r="B663" s="10" t="s">
        <v>37</v>
      </c>
      <c r="C663" s="10" t="s">
        <v>71</v>
      </c>
      <c r="D663" s="10" t="s">
        <v>39</v>
      </c>
    </row>
    <row r="664" spans="1:4" x14ac:dyDescent="0.25">
      <c r="A664" s="11">
        <v>3454</v>
      </c>
      <c r="B664" s="10" t="s">
        <v>37</v>
      </c>
      <c r="C664" s="10" t="s">
        <v>71</v>
      </c>
      <c r="D664" s="10" t="s">
        <v>39</v>
      </c>
    </row>
    <row r="665" spans="1:4" x14ac:dyDescent="0.25">
      <c r="A665" s="11">
        <v>3454</v>
      </c>
      <c r="B665" s="10" t="s">
        <v>37</v>
      </c>
      <c r="C665" s="10" t="s">
        <v>71</v>
      </c>
      <c r="D665" s="10" t="s">
        <v>39</v>
      </c>
    </row>
    <row r="666" spans="1:4" x14ac:dyDescent="0.25">
      <c r="A666" s="11">
        <v>3460</v>
      </c>
      <c r="B666" s="10" t="s">
        <v>37</v>
      </c>
      <c r="C666" s="10" t="s">
        <v>72</v>
      </c>
      <c r="D666" s="10" t="s">
        <v>39</v>
      </c>
    </row>
    <row r="667" spans="1:4" x14ac:dyDescent="0.25">
      <c r="A667" s="11">
        <v>3460</v>
      </c>
      <c r="B667" s="10" t="s">
        <v>37</v>
      </c>
      <c r="C667" s="10" t="s">
        <v>72</v>
      </c>
      <c r="D667" s="10" t="s">
        <v>39</v>
      </c>
    </row>
    <row r="668" spans="1:4" x14ac:dyDescent="0.25">
      <c r="A668" s="11">
        <v>3463</v>
      </c>
      <c r="B668" s="10" t="s">
        <v>37</v>
      </c>
      <c r="C668" s="10" t="s">
        <v>73</v>
      </c>
      <c r="D668" s="10" t="s">
        <v>39</v>
      </c>
    </row>
    <row r="669" spans="1:4" x14ac:dyDescent="0.25">
      <c r="A669" s="11">
        <v>3463</v>
      </c>
      <c r="B669" s="10" t="s">
        <v>37</v>
      </c>
      <c r="C669" s="10" t="s">
        <v>73</v>
      </c>
      <c r="D669" s="10" t="s">
        <v>39</v>
      </c>
    </row>
    <row r="670" spans="1:4" x14ac:dyDescent="0.25">
      <c r="A670" s="11">
        <v>3464</v>
      </c>
      <c r="B670" s="10" t="s">
        <v>37</v>
      </c>
      <c r="C670" s="10" t="s">
        <v>74</v>
      </c>
      <c r="D670" s="10" t="s">
        <v>46</v>
      </c>
    </row>
    <row r="671" spans="1:4" x14ac:dyDescent="0.25">
      <c r="A671" s="11">
        <v>3464</v>
      </c>
      <c r="B671" s="10" t="s">
        <v>37</v>
      </c>
      <c r="C671" s="10" t="s">
        <v>74</v>
      </c>
      <c r="D671" s="10" t="s">
        <v>46</v>
      </c>
    </row>
    <row r="672" spans="1:4" x14ac:dyDescent="0.25">
      <c r="A672" s="11">
        <v>3465</v>
      </c>
      <c r="B672" s="10" t="s">
        <v>37</v>
      </c>
      <c r="C672" s="10" t="s">
        <v>75</v>
      </c>
      <c r="D672" s="10" t="s">
        <v>46</v>
      </c>
    </row>
    <row r="673" spans="1:4" x14ac:dyDescent="0.25">
      <c r="A673" s="11">
        <v>3465</v>
      </c>
      <c r="B673" s="10" t="s">
        <v>37</v>
      </c>
      <c r="C673" s="10" t="s">
        <v>75</v>
      </c>
      <c r="D673" s="10" t="s">
        <v>46</v>
      </c>
    </row>
    <row r="674" spans="1:4" x14ac:dyDescent="0.25">
      <c r="A674" s="11">
        <v>3466</v>
      </c>
      <c r="B674" s="10" t="s">
        <v>37</v>
      </c>
      <c r="C674" s="10" t="s">
        <v>76</v>
      </c>
      <c r="D674" s="10" t="s">
        <v>46</v>
      </c>
    </row>
    <row r="675" spans="1:4" x14ac:dyDescent="0.25">
      <c r="A675" s="11">
        <v>3466</v>
      </c>
      <c r="B675" s="10" t="s">
        <v>37</v>
      </c>
      <c r="C675" s="10" t="s">
        <v>76</v>
      </c>
      <c r="D675" s="10" t="s">
        <v>46</v>
      </c>
    </row>
    <row r="676" spans="1:4" x14ac:dyDescent="0.25">
      <c r="A676" s="11">
        <v>3467</v>
      </c>
      <c r="B676" s="10" t="s">
        <v>37</v>
      </c>
      <c r="C676" s="10" t="s">
        <v>77</v>
      </c>
      <c r="D676" s="10" t="s">
        <v>46</v>
      </c>
    </row>
    <row r="677" spans="1:4" x14ac:dyDescent="0.25">
      <c r="A677" s="11">
        <v>3467</v>
      </c>
      <c r="B677" s="10" t="s">
        <v>37</v>
      </c>
      <c r="C677" s="10" t="s">
        <v>77</v>
      </c>
      <c r="D677" s="10" t="s">
        <v>46</v>
      </c>
    </row>
    <row r="678" spans="1:4" x14ac:dyDescent="0.25">
      <c r="A678" s="11">
        <v>3468</v>
      </c>
      <c r="B678" s="10" t="s">
        <v>37</v>
      </c>
      <c r="C678" s="10" t="s">
        <v>78</v>
      </c>
      <c r="D678" s="10" t="s">
        <v>46</v>
      </c>
    </row>
    <row r="679" spans="1:4" x14ac:dyDescent="0.25">
      <c r="A679" s="11">
        <v>3468</v>
      </c>
      <c r="B679" s="10" t="s">
        <v>37</v>
      </c>
      <c r="C679" s="10" t="s">
        <v>78</v>
      </c>
      <c r="D679" s="10" t="s">
        <v>46</v>
      </c>
    </row>
    <row r="680" spans="1:4" x14ac:dyDescent="0.25">
      <c r="A680" s="11">
        <v>3469</v>
      </c>
      <c r="B680" s="10" t="s">
        <v>37</v>
      </c>
      <c r="C680" s="10" t="s">
        <v>79</v>
      </c>
      <c r="D680" s="10" t="s">
        <v>46</v>
      </c>
    </row>
    <row r="681" spans="1:4" x14ac:dyDescent="0.25">
      <c r="A681" s="11">
        <v>3469</v>
      </c>
      <c r="B681" s="10" t="s">
        <v>37</v>
      </c>
      <c r="C681" s="10" t="s">
        <v>79</v>
      </c>
      <c r="D681" s="10" t="s">
        <v>46</v>
      </c>
    </row>
    <row r="682" spans="1:4" x14ac:dyDescent="0.25">
      <c r="A682" s="11">
        <v>3470</v>
      </c>
      <c r="B682" s="10" t="s">
        <v>37</v>
      </c>
      <c r="C682" s="10" t="s">
        <v>80</v>
      </c>
      <c r="D682" s="10" t="s">
        <v>46</v>
      </c>
    </row>
    <row r="683" spans="1:4" x14ac:dyDescent="0.25">
      <c r="A683" s="11">
        <v>3470</v>
      </c>
      <c r="B683" s="10" t="s">
        <v>37</v>
      </c>
      <c r="C683" s="10" t="s">
        <v>80</v>
      </c>
      <c r="D683" s="10" t="s">
        <v>46</v>
      </c>
    </row>
    <row r="684" spans="1:4" x14ac:dyDescent="0.25">
      <c r="A684" s="11">
        <v>3471</v>
      </c>
      <c r="B684" s="10" t="s">
        <v>37</v>
      </c>
      <c r="C684" s="10" t="s">
        <v>81</v>
      </c>
      <c r="D684" s="10" t="s">
        <v>46</v>
      </c>
    </row>
    <row r="685" spans="1:4" x14ac:dyDescent="0.25">
      <c r="A685" s="11">
        <v>3471</v>
      </c>
      <c r="B685" s="10" t="s">
        <v>37</v>
      </c>
      <c r="C685" s="10" t="s">
        <v>81</v>
      </c>
      <c r="D685" s="10" t="s">
        <v>46</v>
      </c>
    </row>
    <row r="686" spans="1:4" x14ac:dyDescent="0.25">
      <c r="A686" s="11">
        <v>3473</v>
      </c>
      <c r="B686" s="10" t="s">
        <v>37</v>
      </c>
      <c r="C686" s="10" t="s">
        <v>82</v>
      </c>
      <c r="D686" s="10" t="s">
        <v>46</v>
      </c>
    </row>
    <row r="687" spans="1:4" x14ac:dyDescent="0.25">
      <c r="A687" s="11">
        <v>3473</v>
      </c>
      <c r="B687" s="10" t="s">
        <v>37</v>
      </c>
      <c r="C687" s="10" t="s">
        <v>82</v>
      </c>
      <c r="D687" s="10" t="s">
        <v>46</v>
      </c>
    </row>
    <row r="688" spans="1:4" x14ac:dyDescent="0.25">
      <c r="A688" s="11">
        <v>3474</v>
      </c>
      <c r="B688" s="10" t="s">
        <v>37</v>
      </c>
      <c r="C688" s="10" t="s">
        <v>83</v>
      </c>
      <c r="D688" s="10" t="s">
        <v>39</v>
      </c>
    </row>
    <row r="689" spans="1:4" x14ac:dyDescent="0.25">
      <c r="A689" s="11">
        <v>3477</v>
      </c>
      <c r="B689" s="10" t="s">
        <v>37</v>
      </c>
      <c r="C689" s="10" t="s">
        <v>84</v>
      </c>
      <c r="D689" s="10" t="s">
        <v>39</v>
      </c>
    </row>
    <row r="690" spans="1:4" x14ac:dyDescent="0.25">
      <c r="A690" s="11">
        <v>3477</v>
      </c>
      <c r="B690" s="10" t="s">
        <v>37</v>
      </c>
      <c r="C690" s="10" t="s">
        <v>84</v>
      </c>
      <c r="D690" s="10" t="s">
        <v>39</v>
      </c>
    </row>
    <row r="691" spans="1:4" x14ac:dyDescent="0.25">
      <c r="A691" s="11">
        <v>3477</v>
      </c>
      <c r="B691" s="10" t="s">
        <v>37</v>
      </c>
      <c r="C691" s="10" t="s">
        <v>84</v>
      </c>
      <c r="D691" s="10" t="s">
        <v>39</v>
      </c>
    </row>
    <row r="692" spans="1:4" x14ac:dyDescent="0.25">
      <c r="A692" s="11">
        <v>3477</v>
      </c>
      <c r="B692" s="10" t="s">
        <v>37</v>
      </c>
      <c r="C692" s="10" t="s">
        <v>84</v>
      </c>
      <c r="D692" s="10" t="s">
        <v>39</v>
      </c>
    </row>
    <row r="693" spans="1:4" x14ac:dyDescent="0.25">
      <c r="A693" s="11">
        <v>3477</v>
      </c>
      <c r="B693" s="10" t="s">
        <v>37</v>
      </c>
      <c r="C693" s="10" t="s">
        <v>84</v>
      </c>
      <c r="D693" s="10" t="s">
        <v>39</v>
      </c>
    </row>
    <row r="694" spans="1:4" x14ac:dyDescent="0.25">
      <c r="A694" s="11">
        <v>3477</v>
      </c>
      <c r="B694" s="10" t="s">
        <v>37</v>
      </c>
      <c r="C694" s="10" t="s">
        <v>84</v>
      </c>
      <c r="D694" s="10" t="s">
        <v>39</v>
      </c>
    </row>
    <row r="695" spans="1:4" x14ac:dyDescent="0.25">
      <c r="A695" s="11">
        <v>3477</v>
      </c>
      <c r="B695" s="10" t="s">
        <v>37</v>
      </c>
      <c r="C695" s="10" t="s">
        <v>84</v>
      </c>
      <c r="D695" s="10" t="s">
        <v>39</v>
      </c>
    </row>
    <row r="696" spans="1:4" x14ac:dyDescent="0.25">
      <c r="A696" s="11">
        <v>3477</v>
      </c>
      <c r="B696" s="10" t="s">
        <v>37</v>
      </c>
      <c r="C696" s="10" t="s">
        <v>84</v>
      </c>
      <c r="D696" s="10" t="s">
        <v>39</v>
      </c>
    </row>
    <row r="697" spans="1:4" x14ac:dyDescent="0.25">
      <c r="A697" s="11">
        <v>3477</v>
      </c>
      <c r="B697" s="10" t="s">
        <v>37</v>
      </c>
      <c r="C697" s="10" t="s">
        <v>84</v>
      </c>
      <c r="D697" s="10" t="s">
        <v>39</v>
      </c>
    </row>
    <row r="698" spans="1:4" x14ac:dyDescent="0.25">
      <c r="A698" s="11">
        <v>3477</v>
      </c>
      <c r="B698" s="10" t="s">
        <v>37</v>
      </c>
      <c r="C698" s="10" t="s">
        <v>84</v>
      </c>
      <c r="D698" s="10" t="s">
        <v>39</v>
      </c>
    </row>
    <row r="699" spans="1:4" x14ac:dyDescent="0.25">
      <c r="A699" s="11">
        <v>3477</v>
      </c>
      <c r="B699" s="10" t="s">
        <v>37</v>
      </c>
      <c r="C699" s="10" t="s">
        <v>84</v>
      </c>
      <c r="D699" s="10" t="s">
        <v>39</v>
      </c>
    </row>
    <row r="700" spans="1:4" x14ac:dyDescent="0.25">
      <c r="A700" s="11">
        <v>3477</v>
      </c>
      <c r="B700" s="10" t="s">
        <v>37</v>
      </c>
      <c r="C700" s="10" t="s">
        <v>84</v>
      </c>
      <c r="D700" s="10" t="s">
        <v>39</v>
      </c>
    </row>
    <row r="701" spans="1:4" x14ac:dyDescent="0.25">
      <c r="A701" s="11">
        <v>3450</v>
      </c>
      <c r="B701" s="10" t="s">
        <v>37</v>
      </c>
      <c r="C701" s="10" t="s">
        <v>70</v>
      </c>
      <c r="D701" s="10" t="s">
        <v>39</v>
      </c>
    </row>
    <row r="702" spans="1:4" x14ac:dyDescent="0.25">
      <c r="A702" s="11">
        <v>3450</v>
      </c>
      <c r="B702" s="10" t="s">
        <v>37</v>
      </c>
      <c r="C702" s="10" t="s">
        <v>70</v>
      </c>
      <c r="D702" s="10" t="s">
        <v>39</v>
      </c>
    </row>
    <row r="703" spans="1:4" x14ac:dyDescent="0.25">
      <c r="A703" s="11">
        <v>3450</v>
      </c>
      <c r="B703" s="10" t="s">
        <v>37</v>
      </c>
      <c r="C703" s="10" t="s">
        <v>70</v>
      </c>
      <c r="D703" s="10" t="s">
        <v>39</v>
      </c>
    </row>
    <row r="704" spans="1:4" x14ac:dyDescent="0.25">
      <c r="A704" s="11">
        <v>3450</v>
      </c>
      <c r="B704" s="10" t="s">
        <v>37</v>
      </c>
      <c r="C704" s="10" t="s">
        <v>70</v>
      </c>
      <c r="D704" s="10" t="s">
        <v>39</v>
      </c>
    </row>
    <row r="705" spans="1:4" x14ac:dyDescent="0.25">
      <c r="A705" s="11">
        <v>3450</v>
      </c>
      <c r="B705" s="10" t="s">
        <v>37</v>
      </c>
      <c r="C705" s="10" t="s">
        <v>70</v>
      </c>
      <c r="D705" s="10" t="s">
        <v>39</v>
      </c>
    </row>
    <row r="706" spans="1:4" x14ac:dyDescent="0.25">
      <c r="A706" s="11">
        <v>3450</v>
      </c>
      <c r="B706" s="10" t="s">
        <v>37</v>
      </c>
      <c r="C706" s="10" t="s">
        <v>70</v>
      </c>
      <c r="D706" s="10" t="s">
        <v>39</v>
      </c>
    </row>
    <row r="707" spans="1:4" x14ac:dyDescent="0.25">
      <c r="A707" s="11">
        <v>3450</v>
      </c>
      <c r="B707" s="10" t="s">
        <v>37</v>
      </c>
      <c r="C707" s="10" t="s">
        <v>70</v>
      </c>
      <c r="D707" s="10" t="s">
        <v>39</v>
      </c>
    </row>
    <row r="708" spans="1:4" x14ac:dyDescent="0.25">
      <c r="A708" s="11">
        <v>3450</v>
      </c>
      <c r="B708" s="10" t="s">
        <v>37</v>
      </c>
      <c r="C708" s="10" t="s">
        <v>70</v>
      </c>
      <c r="D708" s="10" t="s">
        <v>39</v>
      </c>
    </row>
    <row r="709" spans="1:4" x14ac:dyDescent="0.25">
      <c r="A709" s="11">
        <v>3450</v>
      </c>
      <c r="B709" s="10" t="s">
        <v>37</v>
      </c>
      <c r="C709" s="10" t="s">
        <v>70</v>
      </c>
      <c r="D709" s="10" t="s">
        <v>39</v>
      </c>
    </row>
    <row r="710" spans="1:4" x14ac:dyDescent="0.25">
      <c r="A710" s="11">
        <v>3450</v>
      </c>
      <c r="B710" s="10" t="s">
        <v>37</v>
      </c>
      <c r="C710" s="10" t="s">
        <v>70</v>
      </c>
      <c r="D710" s="10" t="s">
        <v>39</v>
      </c>
    </row>
    <row r="711" spans="1:4" x14ac:dyDescent="0.25">
      <c r="A711" s="11">
        <v>3450</v>
      </c>
      <c r="B711" s="10" t="s">
        <v>37</v>
      </c>
      <c r="C711" s="10" t="s">
        <v>70</v>
      </c>
      <c r="D711" s="10" t="s">
        <v>39</v>
      </c>
    </row>
    <row r="712" spans="1:4" x14ac:dyDescent="0.25">
      <c r="A712" s="11">
        <v>3450</v>
      </c>
      <c r="B712" s="10" t="s">
        <v>37</v>
      </c>
      <c r="C712" s="10" t="s">
        <v>70</v>
      </c>
      <c r="D712" s="10" t="s">
        <v>39</v>
      </c>
    </row>
    <row r="713" spans="1:4" x14ac:dyDescent="0.25">
      <c r="A713" s="11">
        <v>3450</v>
      </c>
      <c r="B713" s="10" t="s">
        <v>37</v>
      </c>
      <c r="C713" s="10" t="s">
        <v>70</v>
      </c>
      <c r="D713" s="10" t="s">
        <v>39</v>
      </c>
    </row>
    <row r="714" spans="1:4" x14ac:dyDescent="0.25">
      <c r="A714" s="11">
        <v>3450</v>
      </c>
      <c r="B714" s="10" t="s">
        <v>37</v>
      </c>
      <c r="C714" s="10" t="s">
        <v>70</v>
      </c>
      <c r="D714" s="10" t="s">
        <v>39</v>
      </c>
    </row>
    <row r="715" spans="1:4" x14ac:dyDescent="0.25">
      <c r="A715" s="11">
        <v>3450</v>
      </c>
      <c r="B715" s="10" t="s">
        <v>37</v>
      </c>
      <c r="C715" s="10" t="s">
        <v>70</v>
      </c>
      <c r="D715" s="10" t="s">
        <v>39</v>
      </c>
    </row>
    <row r="716" spans="1:4" x14ac:dyDescent="0.25">
      <c r="A716" s="11">
        <v>3450</v>
      </c>
      <c r="B716" s="10" t="s">
        <v>37</v>
      </c>
      <c r="C716" s="10" t="s">
        <v>70</v>
      </c>
      <c r="D716" s="10" t="s">
        <v>39</v>
      </c>
    </row>
    <row r="717" spans="1:4" x14ac:dyDescent="0.25">
      <c r="A717" s="11">
        <v>3450</v>
      </c>
      <c r="B717" s="10" t="s">
        <v>37</v>
      </c>
      <c r="C717" s="10" t="s">
        <v>70</v>
      </c>
      <c r="D717" s="10" t="s">
        <v>39</v>
      </c>
    </row>
    <row r="718" spans="1:4" x14ac:dyDescent="0.25">
      <c r="A718" s="11">
        <v>3450</v>
      </c>
      <c r="B718" s="10" t="s">
        <v>37</v>
      </c>
      <c r="C718" s="10" t="s">
        <v>70</v>
      </c>
      <c r="D718" s="10" t="s">
        <v>39</v>
      </c>
    </row>
    <row r="719" spans="1:4" x14ac:dyDescent="0.25">
      <c r="A719" s="11">
        <v>3450</v>
      </c>
      <c r="B719" s="10" t="s">
        <v>37</v>
      </c>
      <c r="C719" s="10" t="s">
        <v>70</v>
      </c>
      <c r="D719" s="10" t="s">
        <v>39</v>
      </c>
    </row>
    <row r="720" spans="1:4" x14ac:dyDescent="0.25">
      <c r="A720" s="11">
        <v>3450</v>
      </c>
      <c r="B720" s="10" t="s">
        <v>37</v>
      </c>
      <c r="C720" s="10" t="s">
        <v>70</v>
      </c>
      <c r="D720" s="10" t="s">
        <v>39</v>
      </c>
    </row>
    <row r="721" spans="1:4" x14ac:dyDescent="0.25">
      <c r="A721" s="11">
        <v>3450</v>
      </c>
      <c r="B721" s="10" t="s">
        <v>37</v>
      </c>
      <c r="C721" s="10" t="s">
        <v>70</v>
      </c>
      <c r="D721" s="10" t="s">
        <v>39</v>
      </c>
    </row>
    <row r="722" spans="1:4" x14ac:dyDescent="0.25">
      <c r="A722" s="11">
        <v>3450</v>
      </c>
      <c r="B722" s="10" t="s">
        <v>37</v>
      </c>
      <c r="C722" s="10" t="s">
        <v>70</v>
      </c>
      <c r="D722" s="10" t="s">
        <v>39</v>
      </c>
    </row>
    <row r="723" spans="1:4" x14ac:dyDescent="0.25">
      <c r="A723" s="11">
        <v>3450</v>
      </c>
      <c r="B723" s="10" t="s">
        <v>37</v>
      </c>
      <c r="C723" s="10" t="s">
        <v>70</v>
      </c>
      <c r="D723" s="10" t="s">
        <v>39</v>
      </c>
    </row>
    <row r="724" spans="1:4" x14ac:dyDescent="0.25">
      <c r="A724" s="11">
        <v>3450</v>
      </c>
      <c r="B724" s="10" t="s">
        <v>37</v>
      </c>
      <c r="C724" s="10" t="s">
        <v>70</v>
      </c>
      <c r="D724" s="10" t="s">
        <v>39</v>
      </c>
    </row>
    <row r="725" spans="1:4" x14ac:dyDescent="0.25">
      <c r="A725" s="11">
        <v>3453</v>
      </c>
      <c r="B725" s="10" t="s">
        <v>37</v>
      </c>
      <c r="C725" s="10" t="s">
        <v>100</v>
      </c>
      <c r="D725" s="10" t="s">
        <v>39</v>
      </c>
    </row>
    <row r="726" spans="1:4" x14ac:dyDescent="0.25">
      <c r="A726" s="11">
        <v>3453</v>
      </c>
      <c r="B726" s="10" t="s">
        <v>37</v>
      </c>
      <c r="C726" s="10" t="s">
        <v>100</v>
      </c>
      <c r="D726" s="10" t="s">
        <v>39</v>
      </c>
    </row>
    <row r="727" spans="1:4" x14ac:dyDescent="0.25">
      <c r="A727" s="11">
        <v>3453</v>
      </c>
      <c r="B727" s="10" t="s">
        <v>37</v>
      </c>
      <c r="C727" s="10" t="s">
        <v>100</v>
      </c>
      <c r="D727" s="10" t="s">
        <v>39</v>
      </c>
    </row>
    <row r="728" spans="1:4" x14ac:dyDescent="0.25">
      <c r="A728" s="11">
        <v>3453</v>
      </c>
      <c r="B728" s="10" t="s">
        <v>37</v>
      </c>
      <c r="C728" s="10" t="s">
        <v>100</v>
      </c>
      <c r="D728" s="10" t="s">
        <v>39</v>
      </c>
    </row>
    <row r="729" spans="1:4" x14ac:dyDescent="0.25">
      <c r="A729" s="11">
        <v>3453</v>
      </c>
      <c r="B729" s="10" t="s">
        <v>37</v>
      </c>
      <c r="C729" s="10" t="s">
        <v>100</v>
      </c>
      <c r="D729" s="10" t="s">
        <v>39</v>
      </c>
    </row>
    <row r="730" spans="1:4" x14ac:dyDescent="0.25">
      <c r="A730" s="11">
        <v>3453</v>
      </c>
      <c r="B730" s="10" t="s">
        <v>37</v>
      </c>
      <c r="C730" s="10" t="s">
        <v>100</v>
      </c>
      <c r="D730" s="10" t="s">
        <v>39</v>
      </c>
    </row>
    <row r="731" spans="1:4" x14ac:dyDescent="0.25">
      <c r="A731" s="11">
        <v>3453</v>
      </c>
      <c r="B731" s="10" t="s">
        <v>37</v>
      </c>
      <c r="C731" s="10" t="s">
        <v>100</v>
      </c>
      <c r="D731" s="10" t="s">
        <v>39</v>
      </c>
    </row>
    <row r="732" spans="1:4" x14ac:dyDescent="0.25">
      <c r="A732" s="11">
        <v>3453</v>
      </c>
      <c r="B732" s="10" t="s">
        <v>37</v>
      </c>
      <c r="C732" s="10" t="s">
        <v>100</v>
      </c>
      <c r="D732" s="10" t="s">
        <v>39</v>
      </c>
    </row>
    <row r="733" spans="1:4" x14ac:dyDescent="0.25">
      <c r="A733" s="11">
        <v>3453</v>
      </c>
      <c r="B733" s="10" t="s">
        <v>37</v>
      </c>
      <c r="C733" s="10" t="s">
        <v>100</v>
      </c>
      <c r="D733" s="10" t="s">
        <v>39</v>
      </c>
    </row>
    <row r="734" spans="1:4" x14ac:dyDescent="0.25">
      <c r="A734" s="11">
        <v>3453</v>
      </c>
      <c r="B734" s="10" t="s">
        <v>37</v>
      </c>
      <c r="C734" s="10" t="s">
        <v>100</v>
      </c>
      <c r="D734" s="10" t="s">
        <v>39</v>
      </c>
    </row>
    <row r="735" spans="1:4" x14ac:dyDescent="0.25">
      <c r="A735" s="11">
        <v>3453</v>
      </c>
      <c r="B735" s="10" t="s">
        <v>37</v>
      </c>
      <c r="C735" s="10" t="s">
        <v>100</v>
      </c>
      <c r="D735" s="10" t="s">
        <v>39</v>
      </c>
    </row>
    <row r="736" spans="1:4" x14ac:dyDescent="0.25">
      <c r="A736" s="11">
        <v>3453</v>
      </c>
      <c r="B736" s="10" t="s">
        <v>37</v>
      </c>
      <c r="C736" s="10" t="s">
        <v>100</v>
      </c>
      <c r="D736" s="10" t="s">
        <v>39</v>
      </c>
    </row>
    <row r="737" spans="1:4" x14ac:dyDescent="0.25">
      <c r="A737" s="11">
        <v>3453</v>
      </c>
      <c r="B737" s="10" t="s">
        <v>37</v>
      </c>
      <c r="C737" s="10" t="s">
        <v>100</v>
      </c>
      <c r="D737" s="10" t="s">
        <v>39</v>
      </c>
    </row>
    <row r="738" spans="1:4" x14ac:dyDescent="0.25">
      <c r="A738" s="11">
        <v>3453</v>
      </c>
      <c r="B738" s="10" t="s">
        <v>37</v>
      </c>
      <c r="C738" s="10" t="s">
        <v>100</v>
      </c>
      <c r="D738" s="10" t="s">
        <v>39</v>
      </c>
    </row>
    <row r="739" spans="1:4" x14ac:dyDescent="0.25">
      <c r="A739" s="11">
        <v>3453</v>
      </c>
      <c r="B739" s="10" t="s">
        <v>37</v>
      </c>
      <c r="C739" s="10" t="s">
        <v>100</v>
      </c>
      <c r="D739" s="10" t="s">
        <v>39</v>
      </c>
    </row>
    <row r="740" spans="1:4" x14ac:dyDescent="0.25">
      <c r="A740" s="11">
        <v>3453</v>
      </c>
      <c r="B740" s="10" t="s">
        <v>37</v>
      </c>
      <c r="C740" s="10" t="s">
        <v>100</v>
      </c>
      <c r="D740" s="10" t="s">
        <v>39</v>
      </c>
    </row>
    <row r="741" spans="1:4" x14ac:dyDescent="0.25">
      <c r="A741" s="11">
        <v>3453</v>
      </c>
      <c r="B741" s="10" t="s">
        <v>37</v>
      </c>
      <c r="C741" s="10" t="s">
        <v>100</v>
      </c>
      <c r="D741" s="10" t="s">
        <v>39</v>
      </c>
    </row>
    <row r="742" spans="1:4" x14ac:dyDescent="0.25">
      <c r="A742" s="11">
        <v>3453</v>
      </c>
      <c r="B742" s="10" t="s">
        <v>37</v>
      </c>
      <c r="C742" s="10" t="s">
        <v>100</v>
      </c>
      <c r="D742" s="10" t="s">
        <v>39</v>
      </c>
    </row>
    <row r="743" spans="1:4" x14ac:dyDescent="0.25">
      <c r="A743" s="11">
        <v>3453</v>
      </c>
      <c r="B743" s="10" t="s">
        <v>37</v>
      </c>
      <c r="C743" s="10" t="s">
        <v>100</v>
      </c>
      <c r="D743" s="10" t="s">
        <v>39</v>
      </c>
    </row>
    <row r="744" spans="1:4" x14ac:dyDescent="0.25">
      <c r="A744" s="11">
        <v>3453</v>
      </c>
      <c r="B744" s="10" t="s">
        <v>37</v>
      </c>
      <c r="C744" s="10" t="s">
        <v>100</v>
      </c>
      <c r="D744" s="10" t="s">
        <v>39</v>
      </c>
    </row>
    <row r="745" spans="1:4" x14ac:dyDescent="0.25">
      <c r="A745" s="11">
        <v>3453</v>
      </c>
      <c r="B745" s="10" t="s">
        <v>37</v>
      </c>
      <c r="C745" s="10" t="s">
        <v>100</v>
      </c>
      <c r="D745" s="10" t="s">
        <v>39</v>
      </c>
    </row>
    <row r="746" spans="1:4" x14ac:dyDescent="0.25">
      <c r="A746" s="11">
        <v>3453</v>
      </c>
      <c r="B746" s="10" t="s">
        <v>37</v>
      </c>
      <c r="C746" s="10" t="s">
        <v>100</v>
      </c>
      <c r="D746" s="10" t="s">
        <v>39</v>
      </c>
    </row>
    <row r="747" spans="1:4" x14ac:dyDescent="0.25">
      <c r="A747" s="11">
        <v>3453</v>
      </c>
      <c r="B747" s="10" t="s">
        <v>37</v>
      </c>
      <c r="C747" s="10" t="s">
        <v>100</v>
      </c>
      <c r="D747" s="10" t="s">
        <v>39</v>
      </c>
    </row>
    <row r="748" spans="1:4" x14ac:dyDescent="0.25">
      <c r="A748" s="11">
        <v>3453</v>
      </c>
      <c r="B748" s="10" t="s">
        <v>37</v>
      </c>
      <c r="C748" s="10" t="s">
        <v>100</v>
      </c>
      <c r="D748" s="10" t="s">
        <v>39</v>
      </c>
    </row>
    <row r="749" spans="1:4" x14ac:dyDescent="0.25">
      <c r="A749" s="11">
        <v>3453</v>
      </c>
      <c r="B749" s="10" t="s">
        <v>37</v>
      </c>
      <c r="C749" s="10" t="s">
        <v>100</v>
      </c>
      <c r="D749" s="10" t="s">
        <v>39</v>
      </c>
    </row>
    <row r="750" spans="1:4" x14ac:dyDescent="0.25">
      <c r="A750" s="11">
        <v>3453</v>
      </c>
      <c r="B750" s="10" t="s">
        <v>37</v>
      </c>
      <c r="C750" s="10" t="s">
        <v>100</v>
      </c>
      <c r="D750" s="10" t="s">
        <v>39</v>
      </c>
    </row>
    <row r="751" spans="1:4" x14ac:dyDescent="0.25">
      <c r="A751" s="11">
        <v>3453</v>
      </c>
      <c r="B751" s="10" t="s">
        <v>37</v>
      </c>
      <c r="C751" s="10" t="s">
        <v>100</v>
      </c>
      <c r="D751" s="10" t="s">
        <v>39</v>
      </c>
    </row>
    <row r="752" spans="1:4" x14ac:dyDescent="0.25">
      <c r="A752" s="11">
        <v>3453</v>
      </c>
      <c r="B752" s="10" t="s">
        <v>37</v>
      </c>
      <c r="C752" s="10" t="s">
        <v>100</v>
      </c>
      <c r="D752" s="10" t="s">
        <v>39</v>
      </c>
    </row>
    <row r="753" spans="1:4" x14ac:dyDescent="0.25">
      <c r="A753" s="11">
        <v>3453</v>
      </c>
      <c r="B753" s="10" t="s">
        <v>37</v>
      </c>
      <c r="C753" s="10" t="s">
        <v>100</v>
      </c>
      <c r="D753" s="10" t="s">
        <v>39</v>
      </c>
    </row>
    <row r="754" spans="1:4" x14ac:dyDescent="0.25">
      <c r="A754" s="11">
        <v>3453</v>
      </c>
      <c r="B754" s="10" t="s">
        <v>37</v>
      </c>
      <c r="C754" s="10" t="s">
        <v>100</v>
      </c>
      <c r="D754" s="10" t="s">
        <v>39</v>
      </c>
    </row>
    <row r="755" spans="1:4" x14ac:dyDescent="0.25">
      <c r="A755" s="11">
        <v>3453</v>
      </c>
      <c r="B755" s="10" t="s">
        <v>37</v>
      </c>
      <c r="C755" s="10" t="s">
        <v>100</v>
      </c>
      <c r="D755" s="10" t="s">
        <v>39</v>
      </c>
    </row>
    <row r="756" spans="1:4" x14ac:dyDescent="0.25">
      <c r="A756" s="11">
        <v>3453</v>
      </c>
      <c r="B756" s="10" t="s">
        <v>37</v>
      </c>
      <c r="C756" s="10" t="s">
        <v>100</v>
      </c>
      <c r="D756" s="10" t="s">
        <v>39</v>
      </c>
    </row>
    <row r="757" spans="1:4" x14ac:dyDescent="0.25">
      <c r="A757" s="11">
        <v>3453</v>
      </c>
      <c r="B757" s="10" t="s">
        <v>37</v>
      </c>
      <c r="C757" s="10" t="s">
        <v>100</v>
      </c>
      <c r="D757" s="10" t="s">
        <v>39</v>
      </c>
    </row>
    <row r="758" spans="1:4" x14ac:dyDescent="0.25">
      <c r="A758" s="11">
        <v>3453</v>
      </c>
      <c r="B758" s="10" t="s">
        <v>37</v>
      </c>
      <c r="C758" s="10" t="s">
        <v>100</v>
      </c>
      <c r="D758" s="10" t="s">
        <v>39</v>
      </c>
    </row>
    <row r="759" spans="1:4" x14ac:dyDescent="0.25">
      <c r="A759" s="11">
        <v>3453</v>
      </c>
      <c r="B759" s="10" t="s">
        <v>37</v>
      </c>
      <c r="C759" s="10" t="s">
        <v>100</v>
      </c>
      <c r="D759" s="10" t="s">
        <v>39</v>
      </c>
    </row>
    <row r="760" spans="1:4" x14ac:dyDescent="0.25">
      <c r="A760" s="11">
        <v>3453</v>
      </c>
      <c r="B760" s="10" t="s">
        <v>37</v>
      </c>
      <c r="C760" s="10" t="s">
        <v>100</v>
      </c>
      <c r="D760" s="10" t="s">
        <v>39</v>
      </c>
    </row>
    <row r="761" spans="1:4" x14ac:dyDescent="0.25">
      <c r="A761" s="11">
        <v>3453</v>
      </c>
      <c r="B761" s="10" t="s">
        <v>37</v>
      </c>
      <c r="C761" s="10" t="s">
        <v>100</v>
      </c>
      <c r="D761" s="10" t="s">
        <v>39</v>
      </c>
    </row>
    <row r="762" spans="1:4" x14ac:dyDescent="0.25">
      <c r="A762" s="11">
        <v>3453</v>
      </c>
      <c r="B762" s="10" t="s">
        <v>37</v>
      </c>
      <c r="C762" s="10" t="s">
        <v>100</v>
      </c>
      <c r="D762" s="10" t="s">
        <v>39</v>
      </c>
    </row>
    <row r="763" spans="1:4" x14ac:dyDescent="0.25">
      <c r="A763" s="11">
        <v>3453</v>
      </c>
      <c r="B763" s="10" t="s">
        <v>37</v>
      </c>
      <c r="C763" s="10" t="s">
        <v>100</v>
      </c>
      <c r="D763" s="10" t="s">
        <v>39</v>
      </c>
    </row>
    <row r="764" spans="1:4" x14ac:dyDescent="0.25">
      <c r="A764" s="11">
        <v>3453</v>
      </c>
      <c r="B764" s="10" t="s">
        <v>37</v>
      </c>
      <c r="C764" s="10" t="s">
        <v>100</v>
      </c>
      <c r="D764" s="10" t="s">
        <v>39</v>
      </c>
    </row>
    <row r="765" spans="1:4" x14ac:dyDescent="0.25">
      <c r="A765" s="11">
        <v>3453</v>
      </c>
      <c r="B765" s="10" t="s">
        <v>37</v>
      </c>
      <c r="C765" s="10" t="s">
        <v>100</v>
      </c>
      <c r="D765" s="10" t="s">
        <v>39</v>
      </c>
    </row>
    <row r="766" spans="1:4" x14ac:dyDescent="0.25">
      <c r="A766" s="11">
        <v>3453</v>
      </c>
      <c r="B766" s="10" t="s">
        <v>37</v>
      </c>
      <c r="C766" s="10" t="s">
        <v>100</v>
      </c>
      <c r="D766" s="10" t="s">
        <v>39</v>
      </c>
    </row>
    <row r="767" spans="1:4" x14ac:dyDescent="0.25">
      <c r="A767" s="11">
        <v>3453</v>
      </c>
      <c r="B767" s="10" t="s">
        <v>37</v>
      </c>
      <c r="C767" s="10" t="s">
        <v>100</v>
      </c>
      <c r="D767" s="10" t="s">
        <v>39</v>
      </c>
    </row>
    <row r="768" spans="1:4" x14ac:dyDescent="0.25">
      <c r="A768" s="11">
        <v>3453</v>
      </c>
      <c r="B768" s="10" t="s">
        <v>37</v>
      </c>
      <c r="C768" s="10" t="s">
        <v>100</v>
      </c>
      <c r="D768" s="10" t="s">
        <v>39</v>
      </c>
    </row>
    <row r="769" spans="1:4" x14ac:dyDescent="0.25">
      <c r="A769" s="11">
        <v>3453</v>
      </c>
      <c r="B769" s="10" t="s">
        <v>37</v>
      </c>
      <c r="C769" s="10" t="s">
        <v>100</v>
      </c>
      <c r="D769" s="10" t="s">
        <v>39</v>
      </c>
    </row>
    <row r="770" spans="1:4" x14ac:dyDescent="0.25">
      <c r="A770" s="11">
        <v>3453</v>
      </c>
      <c r="B770" s="10" t="s">
        <v>37</v>
      </c>
      <c r="C770" s="10" t="s">
        <v>100</v>
      </c>
      <c r="D770" s="10" t="s">
        <v>39</v>
      </c>
    </row>
    <row r="771" spans="1:4" x14ac:dyDescent="0.25">
      <c r="A771" s="11">
        <v>3453</v>
      </c>
      <c r="B771" s="10" t="s">
        <v>37</v>
      </c>
      <c r="C771" s="10" t="s">
        <v>100</v>
      </c>
      <c r="D771" s="10" t="s">
        <v>39</v>
      </c>
    </row>
    <row r="772" spans="1:4" x14ac:dyDescent="0.25">
      <c r="A772" s="11">
        <v>3453</v>
      </c>
      <c r="B772" s="10" t="s">
        <v>37</v>
      </c>
      <c r="C772" s="10" t="s">
        <v>100</v>
      </c>
      <c r="D772" s="10" t="s">
        <v>39</v>
      </c>
    </row>
    <row r="773" spans="1:4" x14ac:dyDescent="0.25">
      <c r="A773" s="11">
        <v>3453</v>
      </c>
      <c r="B773" s="10" t="s">
        <v>37</v>
      </c>
      <c r="C773" s="10" t="s">
        <v>100</v>
      </c>
      <c r="D773" s="10" t="s">
        <v>39</v>
      </c>
    </row>
    <row r="774" spans="1:4" x14ac:dyDescent="0.25">
      <c r="A774" s="11">
        <v>3453</v>
      </c>
      <c r="B774" s="10" t="s">
        <v>37</v>
      </c>
      <c r="C774" s="10" t="s">
        <v>100</v>
      </c>
      <c r="D774" s="10" t="s">
        <v>39</v>
      </c>
    </row>
    <row r="775" spans="1:4" x14ac:dyDescent="0.25">
      <c r="A775" s="11">
        <v>3453</v>
      </c>
      <c r="B775" s="10" t="s">
        <v>37</v>
      </c>
      <c r="C775" s="10" t="s">
        <v>100</v>
      </c>
      <c r="D775" s="10" t="s">
        <v>39</v>
      </c>
    </row>
    <row r="776" spans="1:4" x14ac:dyDescent="0.25">
      <c r="A776" s="11">
        <v>3453</v>
      </c>
      <c r="B776" s="10" t="s">
        <v>37</v>
      </c>
      <c r="C776" s="10" t="s">
        <v>100</v>
      </c>
      <c r="D776" s="10" t="s">
        <v>39</v>
      </c>
    </row>
    <row r="777" spans="1:4" x14ac:dyDescent="0.25">
      <c r="A777" s="11">
        <v>3453</v>
      </c>
      <c r="B777" s="10" t="s">
        <v>37</v>
      </c>
      <c r="C777" s="10" t="s">
        <v>100</v>
      </c>
      <c r="D777" s="10" t="s">
        <v>39</v>
      </c>
    </row>
    <row r="778" spans="1:4" x14ac:dyDescent="0.25">
      <c r="A778" s="11">
        <v>3453</v>
      </c>
      <c r="B778" s="10" t="s">
        <v>37</v>
      </c>
      <c r="C778" s="10" t="s">
        <v>100</v>
      </c>
      <c r="D778" s="10" t="s">
        <v>39</v>
      </c>
    </row>
    <row r="779" spans="1:4" x14ac:dyDescent="0.25">
      <c r="A779" s="11">
        <v>3453</v>
      </c>
      <c r="B779" s="10" t="s">
        <v>37</v>
      </c>
      <c r="C779" s="10" t="s">
        <v>100</v>
      </c>
      <c r="D779" s="10" t="s">
        <v>39</v>
      </c>
    </row>
    <row r="780" spans="1:4" x14ac:dyDescent="0.25">
      <c r="A780" s="11">
        <v>3453</v>
      </c>
      <c r="B780" s="10" t="s">
        <v>37</v>
      </c>
      <c r="C780" s="10" t="s">
        <v>100</v>
      </c>
      <c r="D780" s="10" t="s">
        <v>39</v>
      </c>
    </row>
    <row r="781" spans="1:4" x14ac:dyDescent="0.25">
      <c r="A781" s="11">
        <v>3453</v>
      </c>
      <c r="B781" s="10" t="s">
        <v>37</v>
      </c>
      <c r="C781" s="10" t="s">
        <v>100</v>
      </c>
      <c r="D781" s="10" t="s">
        <v>39</v>
      </c>
    </row>
    <row r="782" spans="1:4" x14ac:dyDescent="0.25">
      <c r="A782" s="11">
        <v>3453</v>
      </c>
      <c r="B782" s="10" t="s">
        <v>37</v>
      </c>
      <c r="C782" s="10" t="s">
        <v>100</v>
      </c>
      <c r="D782" s="10" t="s">
        <v>39</v>
      </c>
    </row>
    <row r="783" spans="1:4" x14ac:dyDescent="0.25">
      <c r="A783" s="11">
        <v>3453</v>
      </c>
      <c r="B783" s="10" t="s">
        <v>37</v>
      </c>
      <c r="C783" s="10" t="s">
        <v>100</v>
      </c>
      <c r="D783" s="10" t="s">
        <v>39</v>
      </c>
    </row>
    <row r="784" spans="1:4" x14ac:dyDescent="0.25">
      <c r="A784" s="11">
        <v>3453</v>
      </c>
      <c r="B784" s="10" t="s">
        <v>37</v>
      </c>
      <c r="C784" s="10" t="s">
        <v>100</v>
      </c>
      <c r="D784" s="10" t="s">
        <v>39</v>
      </c>
    </row>
    <row r="785" spans="1:4" x14ac:dyDescent="0.25">
      <c r="A785" s="11">
        <v>3454</v>
      </c>
      <c r="B785" s="10" t="s">
        <v>37</v>
      </c>
      <c r="C785" s="10" t="s">
        <v>71</v>
      </c>
      <c r="D785" s="10" t="s">
        <v>39</v>
      </c>
    </row>
    <row r="786" spans="1:4" x14ac:dyDescent="0.25">
      <c r="A786" s="11">
        <v>3454</v>
      </c>
      <c r="B786" s="10" t="s">
        <v>37</v>
      </c>
      <c r="C786" s="10" t="s">
        <v>71</v>
      </c>
      <c r="D786" s="10" t="s">
        <v>39</v>
      </c>
    </row>
    <row r="787" spans="1:4" x14ac:dyDescent="0.25">
      <c r="A787" s="11">
        <v>3454</v>
      </c>
      <c r="B787" s="10" t="s">
        <v>37</v>
      </c>
      <c r="C787" s="10" t="s">
        <v>71</v>
      </c>
      <c r="D787" s="10" t="s">
        <v>39</v>
      </c>
    </row>
    <row r="788" spans="1:4" x14ac:dyDescent="0.25">
      <c r="A788" s="11">
        <v>3454</v>
      </c>
      <c r="B788" s="10" t="s">
        <v>37</v>
      </c>
      <c r="C788" s="10" t="s">
        <v>71</v>
      </c>
      <c r="D788" s="10" t="s">
        <v>39</v>
      </c>
    </row>
    <row r="789" spans="1:4" x14ac:dyDescent="0.25">
      <c r="A789" s="11">
        <v>3454</v>
      </c>
      <c r="B789" s="10" t="s">
        <v>37</v>
      </c>
      <c r="C789" s="10" t="s">
        <v>71</v>
      </c>
      <c r="D789" s="10" t="s">
        <v>39</v>
      </c>
    </row>
    <row r="790" spans="1:4" x14ac:dyDescent="0.25">
      <c r="A790" s="11">
        <v>3454</v>
      </c>
      <c r="B790" s="10" t="s">
        <v>37</v>
      </c>
      <c r="C790" s="10" t="s">
        <v>71</v>
      </c>
      <c r="D790" s="10" t="s">
        <v>39</v>
      </c>
    </row>
    <row r="791" spans="1:4" x14ac:dyDescent="0.25">
      <c r="A791" s="11">
        <v>3454</v>
      </c>
      <c r="B791" s="10" t="s">
        <v>37</v>
      </c>
      <c r="C791" s="10" t="s">
        <v>71</v>
      </c>
      <c r="D791" s="10" t="s">
        <v>39</v>
      </c>
    </row>
    <row r="792" spans="1:4" x14ac:dyDescent="0.25">
      <c r="A792" s="11">
        <v>3454</v>
      </c>
      <c r="B792" s="10" t="s">
        <v>37</v>
      </c>
      <c r="C792" s="10" t="s">
        <v>71</v>
      </c>
      <c r="D792" s="10" t="s">
        <v>39</v>
      </c>
    </row>
    <row r="793" spans="1:4" x14ac:dyDescent="0.25">
      <c r="A793" s="11">
        <v>3454</v>
      </c>
      <c r="B793" s="10" t="s">
        <v>37</v>
      </c>
      <c r="C793" s="10" t="s">
        <v>71</v>
      </c>
      <c r="D793" s="10" t="s">
        <v>39</v>
      </c>
    </row>
    <row r="794" spans="1:4" x14ac:dyDescent="0.25">
      <c r="A794" s="11">
        <v>3454</v>
      </c>
      <c r="B794" s="10" t="s">
        <v>37</v>
      </c>
      <c r="C794" s="10" t="s">
        <v>71</v>
      </c>
      <c r="D794" s="10" t="s">
        <v>39</v>
      </c>
    </row>
    <row r="795" spans="1:4" x14ac:dyDescent="0.25">
      <c r="A795" s="11">
        <v>3454</v>
      </c>
      <c r="B795" s="10" t="s">
        <v>37</v>
      </c>
      <c r="C795" s="10" t="s">
        <v>71</v>
      </c>
      <c r="D795" s="10" t="s">
        <v>39</v>
      </c>
    </row>
    <row r="796" spans="1:4" x14ac:dyDescent="0.25">
      <c r="A796" s="11">
        <v>3454</v>
      </c>
      <c r="B796" s="10" t="s">
        <v>37</v>
      </c>
      <c r="C796" s="10" t="s">
        <v>71</v>
      </c>
      <c r="D796" s="10" t="s">
        <v>39</v>
      </c>
    </row>
    <row r="797" spans="1:4" x14ac:dyDescent="0.25">
      <c r="A797" s="11">
        <v>3455</v>
      </c>
      <c r="B797" s="10" t="s">
        <v>37</v>
      </c>
      <c r="C797" s="10" t="s">
        <v>101</v>
      </c>
      <c r="D797" s="10" t="s">
        <v>39</v>
      </c>
    </row>
    <row r="798" spans="1:4" x14ac:dyDescent="0.25">
      <c r="A798" s="11">
        <v>3455</v>
      </c>
      <c r="B798" s="10" t="s">
        <v>37</v>
      </c>
      <c r="C798" s="10" t="s">
        <v>101</v>
      </c>
      <c r="D798" s="10" t="s">
        <v>39</v>
      </c>
    </row>
    <row r="799" spans="1:4" x14ac:dyDescent="0.25">
      <c r="A799" s="11">
        <v>3455</v>
      </c>
      <c r="B799" s="10" t="s">
        <v>37</v>
      </c>
      <c r="C799" s="10" t="s">
        <v>101</v>
      </c>
      <c r="D799" s="10" t="s">
        <v>39</v>
      </c>
    </row>
    <row r="800" spans="1:4" x14ac:dyDescent="0.25">
      <c r="A800" s="11">
        <v>3455</v>
      </c>
      <c r="B800" s="10" t="s">
        <v>37</v>
      </c>
      <c r="C800" s="10" t="s">
        <v>101</v>
      </c>
      <c r="D800" s="10" t="s">
        <v>39</v>
      </c>
    </row>
    <row r="801" spans="1:4" x14ac:dyDescent="0.25">
      <c r="A801" s="11">
        <v>3455</v>
      </c>
      <c r="B801" s="10" t="s">
        <v>37</v>
      </c>
      <c r="C801" s="10" t="s">
        <v>101</v>
      </c>
      <c r="D801" s="10" t="s">
        <v>39</v>
      </c>
    </row>
    <row r="802" spans="1:4" x14ac:dyDescent="0.25">
      <c r="A802" s="11">
        <v>3455</v>
      </c>
      <c r="B802" s="10" t="s">
        <v>37</v>
      </c>
      <c r="C802" s="10" t="s">
        <v>101</v>
      </c>
      <c r="D802" s="10" t="s">
        <v>39</v>
      </c>
    </row>
    <row r="803" spans="1:4" x14ac:dyDescent="0.25">
      <c r="A803" s="11">
        <v>3455</v>
      </c>
      <c r="B803" s="10" t="s">
        <v>37</v>
      </c>
      <c r="C803" s="10" t="s">
        <v>101</v>
      </c>
      <c r="D803" s="10" t="s">
        <v>39</v>
      </c>
    </row>
    <row r="804" spans="1:4" x14ac:dyDescent="0.25">
      <c r="A804" s="11">
        <v>3455</v>
      </c>
      <c r="B804" s="10" t="s">
        <v>37</v>
      </c>
      <c r="C804" s="10" t="s">
        <v>101</v>
      </c>
      <c r="D804" s="10" t="s">
        <v>39</v>
      </c>
    </row>
    <row r="805" spans="1:4" x14ac:dyDescent="0.25">
      <c r="A805" s="11">
        <v>3455</v>
      </c>
      <c r="B805" s="10" t="s">
        <v>37</v>
      </c>
      <c r="C805" s="10" t="s">
        <v>101</v>
      </c>
      <c r="D805" s="10" t="s">
        <v>39</v>
      </c>
    </row>
    <row r="806" spans="1:4" x14ac:dyDescent="0.25">
      <c r="A806" s="11">
        <v>3455</v>
      </c>
      <c r="B806" s="10" t="s">
        <v>37</v>
      </c>
      <c r="C806" s="10" t="s">
        <v>101</v>
      </c>
      <c r="D806" s="10" t="s">
        <v>39</v>
      </c>
    </row>
    <row r="807" spans="1:4" x14ac:dyDescent="0.25">
      <c r="A807" s="11">
        <v>3455</v>
      </c>
      <c r="B807" s="10" t="s">
        <v>37</v>
      </c>
      <c r="C807" s="10" t="s">
        <v>101</v>
      </c>
      <c r="D807" s="10" t="s">
        <v>39</v>
      </c>
    </row>
    <row r="808" spans="1:4" x14ac:dyDescent="0.25">
      <c r="A808" s="11">
        <v>3455</v>
      </c>
      <c r="B808" s="10" t="s">
        <v>37</v>
      </c>
      <c r="C808" s="10" t="s">
        <v>101</v>
      </c>
      <c r="D808" s="10" t="s">
        <v>39</v>
      </c>
    </row>
    <row r="809" spans="1:4" x14ac:dyDescent="0.25">
      <c r="A809" s="11">
        <v>3456</v>
      </c>
      <c r="B809" s="10" t="s">
        <v>37</v>
      </c>
      <c r="C809" s="10" t="s">
        <v>102</v>
      </c>
      <c r="D809" s="10" t="s">
        <v>39</v>
      </c>
    </row>
    <row r="810" spans="1:4" x14ac:dyDescent="0.25">
      <c r="A810" s="11">
        <v>3456</v>
      </c>
      <c r="B810" s="10" t="s">
        <v>37</v>
      </c>
      <c r="C810" s="10" t="s">
        <v>102</v>
      </c>
      <c r="D810" s="10" t="s">
        <v>39</v>
      </c>
    </row>
    <row r="811" spans="1:4" x14ac:dyDescent="0.25">
      <c r="A811" s="11">
        <v>3456</v>
      </c>
      <c r="B811" s="10" t="s">
        <v>37</v>
      </c>
      <c r="C811" s="10" t="s">
        <v>102</v>
      </c>
      <c r="D811" s="10" t="s">
        <v>39</v>
      </c>
    </row>
    <row r="812" spans="1:4" x14ac:dyDescent="0.25">
      <c r="A812" s="11">
        <v>3456</v>
      </c>
      <c r="B812" s="10" t="s">
        <v>37</v>
      </c>
      <c r="C812" s="10" t="s">
        <v>102</v>
      </c>
      <c r="D812" s="10" t="s">
        <v>39</v>
      </c>
    </row>
    <row r="813" spans="1:4" x14ac:dyDescent="0.25">
      <c r="A813" s="11">
        <v>3456</v>
      </c>
      <c r="B813" s="10" t="s">
        <v>37</v>
      </c>
      <c r="C813" s="10" t="s">
        <v>102</v>
      </c>
      <c r="D813" s="10" t="s">
        <v>39</v>
      </c>
    </row>
    <row r="814" spans="1:4" x14ac:dyDescent="0.25">
      <c r="A814" s="11">
        <v>3456</v>
      </c>
      <c r="B814" s="10" t="s">
        <v>37</v>
      </c>
      <c r="C814" s="10" t="s">
        <v>102</v>
      </c>
      <c r="D814" s="10" t="s">
        <v>39</v>
      </c>
    </row>
    <row r="815" spans="1:4" x14ac:dyDescent="0.25">
      <c r="A815" s="11">
        <v>3456</v>
      </c>
      <c r="B815" s="10" t="s">
        <v>37</v>
      </c>
      <c r="C815" s="10" t="s">
        <v>102</v>
      </c>
      <c r="D815" s="10" t="s">
        <v>39</v>
      </c>
    </row>
    <row r="816" spans="1:4" x14ac:dyDescent="0.25">
      <c r="A816" s="11">
        <v>3456</v>
      </c>
      <c r="B816" s="10" t="s">
        <v>37</v>
      </c>
      <c r="C816" s="10" t="s">
        <v>102</v>
      </c>
      <c r="D816" s="10" t="s">
        <v>39</v>
      </c>
    </row>
    <row r="817" spans="1:4" x14ac:dyDescent="0.25">
      <c r="A817" s="11">
        <v>3456</v>
      </c>
      <c r="B817" s="10" t="s">
        <v>37</v>
      </c>
      <c r="C817" s="10" t="s">
        <v>102</v>
      </c>
      <c r="D817" s="10" t="s">
        <v>39</v>
      </c>
    </row>
    <row r="818" spans="1:4" x14ac:dyDescent="0.25">
      <c r="A818" s="11">
        <v>3456</v>
      </c>
      <c r="B818" s="10" t="s">
        <v>37</v>
      </c>
      <c r="C818" s="10" t="s">
        <v>102</v>
      </c>
      <c r="D818" s="10" t="s">
        <v>39</v>
      </c>
    </row>
    <row r="819" spans="1:4" x14ac:dyDescent="0.25">
      <c r="A819" s="11">
        <v>3456</v>
      </c>
      <c r="B819" s="10" t="s">
        <v>37</v>
      </c>
      <c r="C819" s="10" t="s">
        <v>102</v>
      </c>
      <c r="D819" s="10" t="s">
        <v>39</v>
      </c>
    </row>
    <row r="820" spans="1:4" x14ac:dyDescent="0.25">
      <c r="A820" s="11">
        <v>3456</v>
      </c>
      <c r="B820" s="10" t="s">
        <v>37</v>
      </c>
      <c r="C820" s="10" t="s">
        <v>102</v>
      </c>
      <c r="D820" s="10" t="s">
        <v>39</v>
      </c>
    </row>
    <row r="821" spans="1:4" x14ac:dyDescent="0.25">
      <c r="A821" s="11">
        <v>3456</v>
      </c>
      <c r="B821" s="10" t="s">
        <v>37</v>
      </c>
      <c r="C821" s="10" t="s">
        <v>102</v>
      </c>
      <c r="D821" s="10" t="s">
        <v>39</v>
      </c>
    </row>
    <row r="822" spans="1:4" x14ac:dyDescent="0.25">
      <c r="A822" s="11">
        <v>3456</v>
      </c>
      <c r="B822" s="10" t="s">
        <v>37</v>
      </c>
      <c r="C822" s="10" t="s">
        <v>102</v>
      </c>
      <c r="D822" s="10" t="s">
        <v>39</v>
      </c>
    </row>
    <row r="823" spans="1:4" x14ac:dyDescent="0.25">
      <c r="A823" s="11">
        <v>3456</v>
      </c>
      <c r="B823" s="10" t="s">
        <v>37</v>
      </c>
      <c r="C823" s="10" t="s">
        <v>102</v>
      </c>
      <c r="D823" s="10" t="s">
        <v>39</v>
      </c>
    </row>
    <row r="824" spans="1:4" x14ac:dyDescent="0.25">
      <c r="A824" s="11">
        <v>3456</v>
      </c>
      <c r="B824" s="10" t="s">
        <v>37</v>
      </c>
      <c r="C824" s="10" t="s">
        <v>102</v>
      </c>
      <c r="D824" s="10" t="s">
        <v>39</v>
      </c>
    </row>
    <row r="825" spans="1:4" x14ac:dyDescent="0.25">
      <c r="A825" s="11">
        <v>3456</v>
      </c>
      <c r="B825" s="10" t="s">
        <v>37</v>
      </c>
      <c r="C825" s="10" t="s">
        <v>102</v>
      </c>
      <c r="D825" s="10" t="s">
        <v>39</v>
      </c>
    </row>
    <row r="826" spans="1:4" x14ac:dyDescent="0.25">
      <c r="A826" s="11">
        <v>3456</v>
      </c>
      <c r="B826" s="10" t="s">
        <v>37</v>
      </c>
      <c r="C826" s="10" t="s">
        <v>102</v>
      </c>
      <c r="D826" s="10" t="s">
        <v>39</v>
      </c>
    </row>
    <row r="827" spans="1:4" x14ac:dyDescent="0.25">
      <c r="A827" s="11">
        <v>3456</v>
      </c>
      <c r="B827" s="10" t="s">
        <v>37</v>
      </c>
      <c r="C827" s="10" t="s">
        <v>102</v>
      </c>
      <c r="D827" s="10" t="s">
        <v>39</v>
      </c>
    </row>
    <row r="828" spans="1:4" x14ac:dyDescent="0.25">
      <c r="A828" s="11">
        <v>3456</v>
      </c>
      <c r="B828" s="10" t="s">
        <v>37</v>
      </c>
      <c r="C828" s="10" t="s">
        <v>102</v>
      </c>
      <c r="D828" s="10" t="s">
        <v>39</v>
      </c>
    </row>
    <row r="829" spans="1:4" x14ac:dyDescent="0.25">
      <c r="A829" s="11">
        <v>3456</v>
      </c>
      <c r="B829" s="10" t="s">
        <v>37</v>
      </c>
      <c r="C829" s="10" t="s">
        <v>102</v>
      </c>
      <c r="D829" s="10" t="s">
        <v>39</v>
      </c>
    </row>
    <row r="830" spans="1:4" x14ac:dyDescent="0.25">
      <c r="A830" s="11">
        <v>3456</v>
      </c>
      <c r="B830" s="10" t="s">
        <v>37</v>
      </c>
      <c r="C830" s="10" t="s">
        <v>102</v>
      </c>
      <c r="D830" s="10" t="s">
        <v>39</v>
      </c>
    </row>
    <row r="831" spans="1:4" x14ac:dyDescent="0.25">
      <c r="A831" s="11">
        <v>3456</v>
      </c>
      <c r="B831" s="10" t="s">
        <v>37</v>
      </c>
      <c r="C831" s="10" t="s">
        <v>102</v>
      </c>
      <c r="D831" s="10" t="s">
        <v>39</v>
      </c>
    </row>
    <row r="832" spans="1:4" x14ac:dyDescent="0.25">
      <c r="A832" s="11">
        <v>3456</v>
      </c>
      <c r="B832" s="10" t="s">
        <v>37</v>
      </c>
      <c r="C832" s="10" t="s">
        <v>102</v>
      </c>
      <c r="D832" s="10" t="s">
        <v>39</v>
      </c>
    </row>
    <row r="833" spans="1:4" x14ac:dyDescent="0.25">
      <c r="A833" s="11">
        <v>3459</v>
      </c>
      <c r="B833" s="10" t="s">
        <v>37</v>
      </c>
      <c r="C833" s="10" t="s">
        <v>103</v>
      </c>
      <c r="D833" s="10" t="s">
        <v>39</v>
      </c>
    </row>
    <row r="834" spans="1:4" x14ac:dyDescent="0.25">
      <c r="A834" s="11">
        <v>3459</v>
      </c>
      <c r="B834" s="10" t="s">
        <v>37</v>
      </c>
      <c r="C834" s="10" t="s">
        <v>103</v>
      </c>
      <c r="D834" s="10" t="s">
        <v>39</v>
      </c>
    </row>
    <row r="835" spans="1:4" x14ac:dyDescent="0.25">
      <c r="A835" s="11">
        <v>3459</v>
      </c>
      <c r="B835" s="10" t="s">
        <v>37</v>
      </c>
      <c r="C835" s="10" t="s">
        <v>103</v>
      </c>
      <c r="D835" s="10" t="s">
        <v>39</v>
      </c>
    </row>
    <row r="836" spans="1:4" x14ac:dyDescent="0.25">
      <c r="A836" s="11">
        <v>3459</v>
      </c>
      <c r="B836" s="10" t="s">
        <v>37</v>
      </c>
      <c r="C836" s="10" t="s">
        <v>103</v>
      </c>
      <c r="D836" s="10" t="s">
        <v>39</v>
      </c>
    </row>
    <row r="837" spans="1:4" x14ac:dyDescent="0.25">
      <c r="A837" s="11">
        <v>3459</v>
      </c>
      <c r="B837" s="10" t="s">
        <v>37</v>
      </c>
      <c r="C837" s="10" t="s">
        <v>103</v>
      </c>
      <c r="D837" s="10" t="s">
        <v>39</v>
      </c>
    </row>
    <row r="838" spans="1:4" x14ac:dyDescent="0.25">
      <c r="A838" s="11">
        <v>3459</v>
      </c>
      <c r="B838" s="10" t="s">
        <v>37</v>
      </c>
      <c r="C838" s="10" t="s">
        <v>103</v>
      </c>
      <c r="D838" s="10" t="s">
        <v>39</v>
      </c>
    </row>
    <row r="839" spans="1:4" x14ac:dyDescent="0.25">
      <c r="A839" s="11">
        <v>3459</v>
      </c>
      <c r="B839" s="10" t="s">
        <v>37</v>
      </c>
      <c r="C839" s="10" t="s">
        <v>103</v>
      </c>
      <c r="D839" s="10" t="s">
        <v>39</v>
      </c>
    </row>
    <row r="840" spans="1:4" x14ac:dyDescent="0.25">
      <c r="A840" s="11">
        <v>3459</v>
      </c>
      <c r="B840" s="10" t="s">
        <v>37</v>
      </c>
      <c r="C840" s="10" t="s">
        <v>103</v>
      </c>
      <c r="D840" s="10" t="s">
        <v>39</v>
      </c>
    </row>
    <row r="841" spans="1:4" x14ac:dyDescent="0.25">
      <c r="A841" s="11">
        <v>3459</v>
      </c>
      <c r="B841" s="10" t="s">
        <v>37</v>
      </c>
      <c r="C841" s="10" t="s">
        <v>103</v>
      </c>
      <c r="D841" s="10" t="s">
        <v>39</v>
      </c>
    </row>
    <row r="842" spans="1:4" x14ac:dyDescent="0.25">
      <c r="A842" s="11">
        <v>3459</v>
      </c>
      <c r="B842" s="10" t="s">
        <v>37</v>
      </c>
      <c r="C842" s="10" t="s">
        <v>103</v>
      </c>
      <c r="D842" s="10" t="s">
        <v>39</v>
      </c>
    </row>
    <row r="843" spans="1:4" x14ac:dyDescent="0.25">
      <c r="A843" s="11">
        <v>3459</v>
      </c>
      <c r="B843" s="10" t="s">
        <v>37</v>
      </c>
      <c r="C843" s="10" t="s">
        <v>103</v>
      </c>
      <c r="D843" s="10" t="s">
        <v>39</v>
      </c>
    </row>
    <row r="844" spans="1:4" x14ac:dyDescent="0.25">
      <c r="A844" s="11">
        <v>3459</v>
      </c>
      <c r="B844" s="10" t="s">
        <v>37</v>
      </c>
      <c r="C844" s="10" t="s">
        <v>103</v>
      </c>
      <c r="D844" s="10" t="s">
        <v>39</v>
      </c>
    </row>
    <row r="845" spans="1:4" x14ac:dyDescent="0.25">
      <c r="A845" s="11">
        <v>3459</v>
      </c>
      <c r="B845" s="10" t="s">
        <v>37</v>
      </c>
      <c r="C845" s="10" t="s">
        <v>103</v>
      </c>
      <c r="D845" s="10" t="s">
        <v>39</v>
      </c>
    </row>
    <row r="846" spans="1:4" x14ac:dyDescent="0.25">
      <c r="A846" s="11">
        <v>3459</v>
      </c>
      <c r="B846" s="10" t="s">
        <v>37</v>
      </c>
      <c r="C846" s="10" t="s">
        <v>103</v>
      </c>
      <c r="D846" s="10" t="s">
        <v>39</v>
      </c>
    </row>
    <row r="847" spans="1:4" x14ac:dyDescent="0.25">
      <c r="A847" s="11">
        <v>3459</v>
      </c>
      <c r="B847" s="10" t="s">
        <v>37</v>
      </c>
      <c r="C847" s="10" t="s">
        <v>103</v>
      </c>
      <c r="D847" s="10" t="s">
        <v>39</v>
      </c>
    </row>
    <row r="848" spans="1:4" x14ac:dyDescent="0.25">
      <c r="A848" s="11">
        <v>3459</v>
      </c>
      <c r="B848" s="10" t="s">
        <v>37</v>
      </c>
      <c r="C848" s="10" t="s">
        <v>103</v>
      </c>
      <c r="D848" s="10" t="s">
        <v>39</v>
      </c>
    </row>
    <row r="849" spans="1:4" x14ac:dyDescent="0.25">
      <c r="A849" s="11">
        <v>3459</v>
      </c>
      <c r="B849" s="10" t="s">
        <v>37</v>
      </c>
      <c r="C849" s="10" t="s">
        <v>103</v>
      </c>
      <c r="D849" s="10" t="s">
        <v>39</v>
      </c>
    </row>
    <row r="850" spans="1:4" x14ac:dyDescent="0.25">
      <c r="A850" s="11">
        <v>3459</v>
      </c>
      <c r="B850" s="10" t="s">
        <v>37</v>
      </c>
      <c r="C850" s="10" t="s">
        <v>103</v>
      </c>
      <c r="D850" s="10" t="s">
        <v>39</v>
      </c>
    </row>
    <row r="851" spans="1:4" x14ac:dyDescent="0.25">
      <c r="A851" s="11">
        <v>3459</v>
      </c>
      <c r="B851" s="10" t="s">
        <v>37</v>
      </c>
      <c r="C851" s="10" t="s">
        <v>103</v>
      </c>
      <c r="D851" s="10" t="s">
        <v>39</v>
      </c>
    </row>
    <row r="852" spans="1:4" x14ac:dyDescent="0.25">
      <c r="A852" s="11">
        <v>3459</v>
      </c>
      <c r="B852" s="10" t="s">
        <v>37</v>
      </c>
      <c r="C852" s="10" t="s">
        <v>103</v>
      </c>
      <c r="D852" s="10" t="s">
        <v>39</v>
      </c>
    </row>
    <row r="853" spans="1:4" x14ac:dyDescent="0.25">
      <c r="A853" s="11">
        <v>3459</v>
      </c>
      <c r="B853" s="10" t="s">
        <v>37</v>
      </c>
      <c r="C853" s="10" t="s">
        <v>103</v>
      </c>
      <c r="D853" s="10" t="s">
        <v>39</v>
      </c>
    </row>
    <row r="854" spans="1:4" x14ac:dyDescent="0.25">
      <c r="A854" s="11">
        <v>3459</v>
      </c>
      <c r="B854" s="10" t="s">
        <v>37</v>
      </c>
      <c r="C854" s="10" t="s">
        <v>103</v>
      </c>
      <c r="D854" s="10" t="s">
        <v>39</v>
      </c>
    </row>
    <row r="855" spans="1:4" x14ac:dyDescent="0.25">
      <c r="A855" s="11">
        <v>3459</v>
      </c>
      <c r="B855" s="10" t="s">
        <v>37</v>
      </c>
      <c r="C855" s="10" t="s">
        <v>103</v>
      </c>
      <c r="D855" s="10" t="s">
        <v>39</v>
      </c>
    </row>
    <row r="856" spans="1:4" x14ac:dyDescent="0.25">
      <c r="A856" s="11">
        <v>3459</v>
      </c>
      <c r="B856" s="10" t="s">
        <v>37</v>
      </c>
      <c r="C856" s="10" t="s">
        <v>103</v>
      </c>
      <c r="D856" s="10" t="s">
        <v>39</v>
      </c>
    </row>
    <row r="857" spans="1:4" x14ac:dyDescent="0.25">
      <c r="A857" s="11">
        <v>3459</v>
      </c>
      <c r="B857" s="10" t="s">
        <v>37</v>
      </c>
      <c r="C857" s="10" t="s">
        <v>103</v>
      </c>
      <c r="D857" s="10" t="s">
        <v>39</v>
      </c>
    </row>
    <row r="858" spans="1:4" x14ac:dyDescent="0.25">
      <c r="A858" s="11">
        <v>3459</v>
      </c>
      <c r="B858" s="10" t="s">
        <v>37</v>
      </c>
      <c r="C858" s="10" t="s">
        <v>103</v>
      </c>
      <c r="D858" s="10" t="s">
        <v>39</v>
      </c>
    </row>
    <row r="859" spans="1:4" x14ac:dyDescent="0.25">
      <c r="A859" s="11">
        <v>3459</v>
      </c>
      <c r="B859" s="10" t="s">
        <v>37</v>
      </c>
      <c r="C859" s="10" t="s">
        <v>103</v>
      </c>
      <c r="D859" s="10" t="s">
        <v>39</v>
      </c>
    </row>
    <row r="860" spans="1:4" x14ac:dyDescent="0.25">
      <c r="A860" s="11">
        <v>3459</v>
      </c>
      <c r="B860" s="10" t="s">
        <v>37</v>
      </c>
      <c r="C860" s="10" t="s">
        <v>103</v>
      </c>
      <c r="D860" s="10" t="s">
        <v>39</v>
      </c>
    </row>
    <row r="861" spans="1:4" x14ac:dyDescent="0.25">
      <c r="A861" s="11">
        <v>3459</v>
      </c>
      <c r="B861" s="10" t="s">
        <v>37</v>
      </c>
      <c r="C861" s="10" t="s">
        <v>103</v>
      </c>
      <c r="D861" s="10" t="s">
        <v>39</v>
      </c>
    </row>
    <row r="862" spans="1:4" x14ac:dyDescent="0.25">
      <c r="A862" s="11">
        <v>3459</v>
      </c>
      <c r="B862" s="10" t="s">
        <v>37</v>
      </c>
      <c r="C862" s="10" t="s">
        <v>103</v>
      </c>
      <c r="D862" s="10" t="s">
        <v>39</v>
      </c>
    </row>
    <row r="863" spans="1:4" x14ac:dyDescent="0.25">
      <c r="A863" s="11">
        <v>3459</v>
      </c>
      <c r="B863" s="10" t="s">
        <v>37</v>
      </c>
      <c r="C863" s="10" t="s">
        <v>103</v>
      </c>
      <c r="D863" s="10" t="s">
        <v>39</v>
      </c>
    </row>
    <row r="864" spans="1:4" x14ac:dyDescent="0.25">
      <c r="A864" s="11">
        <v>3459</v>
      </c>
      <c r="B864" s="10" t="s">
        <v>37</v>
      </c>
      <c r="C864" s="10" t="s">
        <v>103</v>
      </c>
      <c r="D864" s="10" t="s">
        <v>39</v>
      </c>
    </row>
    <row r="865" spans="1:4" x14ac:dyDescent="0.25">
      <c r="A865" s="11">
        <v>3459</v>
      </c>
      <c r="B865" s="10" t="s">
        <v>37</v>
      </c>
      <c r="C865" s="10" t="s">
        <v>103</v>
      </c>
      <c r="D865" s="10" t="s">
        <v>39</v>
      </c>
    </row>
    <row r="866" spans="1:4" x14ac:dyDescent="0.25">
      <c r="A866" s="11">
        <v>3459</v>
      </c>
      <c r="B866" s="10" t="s">
        <v>37</v>
      </c>
      <c r="C866" s="10" t="s">
        <v>103</v>
      </c>
      <c r="D866" s="10" t="s">
        <v>39</v>
      </c>
    </row>
    <row r="867" spans="1:4" x14ac:dyDescent="0.25">
      <c r="A867" s="11">
        <v>3459</v>
      </c>
      <c r="B867" s="10" t="s">
        <v>37</v>
      </c>
      <c r="C867" s="10" t="s">
        <v>103</v>
      </c>
      <c r="D867" s="10" t="s">
        <v>39</v>
      </c>
    </row>
    <row r="868" spans="1:4" x14ac:dyDescent="0.25">
      <c r="A868" s="11">
        <v>3459</v>
      </c>
      <c r="B868" s="10" t="s">
        <v>37</v>
      </c>
      <c r="C868" s="10" t="s">
        <v>103</v>
      </c>
      <c r="D868" s="10" t="s">
        <v>39</v>
      </c>
    </row>
    <row r="869" spans="1:4" x14ac:dyDescent="0.25">
      <c r="A869" s="11">
        <v>3459</v>
      </c>
      <c r="B869" s="10" t="s">
        <v>37</v>
      </c>
      <c r="C869" s="10" t="s">
        <v>103</v>
      </c>
      <c r="D869" s="10" t="s">
        <v>39</v>
      </c>
    </row>
    <row r="870" spans="1:4" x14ac:dyDescent="0.25">
      <c r="A870" s="11">
        <v>3459</v>
      </c>
      <c r="B870" s="10" t="s">
        <v>37</v>
      </c>
      <c r="C870" s="10" t="s">
        <v>103</v>
      </c>
      <c r="D870" s="10" t="s">
        <v>39</v>
      </c>
    </row>
    <row r="871" spans="1:4" x14ac:dyDescent="0.25">
      <c r="A871" s="11">
        <v>3459</v>
      </c>
      <c r="B871" s="10" t="s">
        <v>37</v>
      </c>
      <c r="C871" s="10" t="s">
        <v>103</v>
      </c>
      <c r="D871" s="10" t="s">
        <v>39</v>
      </c>
    </row>
    <row r="872" spans="1:4" x14ac:dyDescent="0.25">
      <c r="A872" s="11">
        <v>3459</v>
      </c>
      <c r="B872" s="10" t="s">
        <v>37</v>
      </c>
      <c r="C872" s="10" t="s">
        <v>103</v>
      </c>
      <c r="D872" s="10" t="s">
        <v>39</v>
      </c>
    </row>
    <row r="873" spans="1:4" x14ac:dyDescent="0.25">
      <c r="A873" s="11">
        <v>3459</v>
      </c>
      <c r="B873" s="10" t="s">
        <v>37</v>
      </c>
      <c r="C873" s="10" t="s">
        <v>103</v>
      </c>
      <c r="D873" s="10" t="s">
        <v>39</v>
      </c>
    </row>
    <row r="874" spans="1:4" x14ac:dyDescent="0.25">
      <c r="A874" s="11">
        <v>3459</v>
      </c>
      <c r="B874" s="10" t="s">
        <v>37</v>
      </c>
      <c r="C874" s="10" t="s">
        <v>103</v>
      </c>
      <c r="D874" s="10" t="s">
        <v>39</v>
      </c>
    </row>
    <row r="875" spans="1:4" x14ac:dyDescent="0.25">
      <c r="A875" s="11">
        <v>3459</v>
      </c>
      <c r="B875" s="10" t="s">
        <v>37</v>
      </c>
      <c r="C875" s="10" t="s">
        <v>103</v>
      </c>
      <c r="D875" s="10" t="s">
        <v>39</v>
      </c>
    </row>
    <row r="876" spans="1:4" x14ac:dyDescent="0.25">
      <c r="A876" s="11">
        <v>3459</v>
      </c>
      <c r="B876" s="10" t="s">
        <v>37</v>
      </c>
      <c r="C876" s="10" t="s">
        <v>103</v>
      </c>
      <c r="D876" s="10" t="s">
        <v>39</v>
      </c>
    </row>
    <row r="877" spans="1:4" x14ac:dyDescent="0.25">
      <c r="A877" s="11">
        <v>3459</v>
      </c>
      <c r="B877" s="10" t="s">
        <v>37</v>
      </c>
      <c r="C877" s="10" t="s">
        <v>103</v>
      </c>
      <c r="D877" s="10" t="s">
        <v>39</v>
      </c>
    </row>
    <row r="878" spans="1:4" x14ac:dyDescent="0.25">
      <c r="A878" s="11">
        <v>3459</v>
      </c>
      <c r="B878" s="10" t="s">
        <v>37</v>
      </c>
      <c r="C878" s="10" t="s">
        <v>103</v>
      </c>
      <c r="D878" s="10" t="s">
        <v>39</v>
      </c>
    </row>
    <row r="879" spans="1:4" x14ac:dyDescent="0.25">
      <c r="A879" s="11">
        <v>3459</v>
      </c>
      <c r="B879" s="10" t="s">
        <v>37</v>
      </c>
      <c r="C879" s="10" t="s">
        <v>103</v>
      </c>
      <c r="D879" s="10" t="s">
        <v>39</v>
      </c>
    </row>
    <row r="880" spans="1:4" x14ac:dyDescent="0.25">
      <c r="A880" s="11">
        <v>3459</v>
      </c>
      <c r="B880" s="10" t="s">
        <v>37</v>
      </c>
      <c r="C880" s="10" t="s">
        <v>103</v>
      </c>
      <c r="D880" s="10" t="s">
        <v>39</v>
      </c>
    </row>
    <row r="881" spans="1:4" x14ac:dyDescent="0.25">
      <c r="A881" s="11">
        <v>3460</v>
      </c>
      <c r="B881" s="10" t="s">
        <v>37</v>
      </c>
      <c r="C881" s="10" t="s">
        <v>72</v>
      </c>
      <c r="D881" s="10" t="s">
        <v>39</v>
      </c>
    </row>
    <row r="882" spans="1:4" x14ac:dyDescent="0.25">
      <c r="A882" s="11">
        <v>3460</v>
      </c>
      <c r="B882" s="10" t="s">
        <v>37</v>
      </c>
      <c r="C882" s="10" t="s">
        <v>72</v>
      </c>
      <c r="D882" s="10" t="s">
        <v>39</v>
      </c>
    </row>
    <row r="883" spans="1:4" x14ac:dyDescent="0.25">
      <c r="A883" s="11">
        <v>3460</v>
      </c>
      <c r="B883" s="10" t="s">
        <v>37</v>
      </c>
      <c r="C883" s="10" t="s">
        <v>72</v>
      </c>
      <c r="D883" s="10" t="s">
        <v>39</v>
      </c>
    </row>
    <row r="884" spans="1:4" x14ac:dyDescent="0.25">
      <c r="A884" s="11">
        <v>3460</v>
      </c>
      <c r="B884" s="10" t="s">
        <v>37</v>
      </c>
      <c r="C884" s="10" t="s">
        <v>72</v>
      </c>
      <c r="D884" s="10" t="s">
        <v>39</v>
      </c>
    </row>
    <row r="885" spans="1:4" x14ac:dyDescent="0.25">
      <c r="A885" s="11">
        <v>3460</v>
      </c>
      <c r="B885" s="10" t="s">
        <v>37</v>
      </c>
      <c r="C885" s="10" t="s">
        <v>72</v>
      </c>
      <c r="D885" s="10" t="s">
        <v>39</v>
      </c>
    </row>
    <row r="886" spans="1:4" x14ac:dyDescent="0.25">
      <c r="A886" s="11">
        <v>3460</v>
      </c>
      <c r="B886" s="10" t="s">
        <v>37</v>
      </c>
      <c r="C886" s="10" t="s">
        <v>72</v>
      </c>
      <c r="D886" s="10" t="s">
        <v>39</v>
      </c>
    </row>
    <row r="887" spans="1:4" x14ac:dyDescent="0.25">
      <c r="A887" s="11">
        <v>3460</v>
      </c>
      <c r="B887" s="10" t="s">
        <v>37</v>
      </c>
      <c r="C887" s="10" t="s">
        <v>72</v>
      </c>
      <c r="D887" s="10" t="s">
        <v>39</v>
      </c>
    </row>
    <row r="888" spans="1:4" x14ac:dyDescent="0.25">
      <c r="A888" s="11">
        <v>3460</v>
      </c>
      <c r="B888" s="10" t="s">
        <v>37</v>
      </c>
      <c r="C888" s="10" t="s">
        <v>72</v>
      </c>
      <c r="D888" s="10" t="s">
        <v>39</v>
      </c>
    </row>
    <row r="889" spans="1:4" x14ac:dyDescent="0.25">
      <c r="A889" s="11">
        <v>3460</v>
      </c>
      <c r="B889" s="10" t="s">
        <v>37</v>
      </c>
      <c r="C889" s="10" t="s">
        <v>72</v>
      </c>
      <c r="D889" s="10" t="s">
        <v>39</v>
      </c>
    </row>
    <row r="890" spans="1:4" x14ac:dyDescent="0.25">
      <c r="A890" s="11">
        <v>3460</v>
      </c>
      <c r="B890" s="10" t="s">
        <v>37</v>
      </c>
      <c r="C890" s="10" t="s">
        <v>72</v>
      </c>
      <c r="D890" s="10" t="s">
        <v>39</v>
      </c>
    </row>
    <row r="891" spans="1:4" x14ac:dyDescent="0.25">
      <c r="A891" s="11">
        <v>3460</v>
      </c>
      <c r="B891" s="10" t="s">
        <v>37</v>
      </c>
      <c r="C891" s="10" t="s">
        <v>72</v>
      </c>
      <c r="D891" s="10" t="s">
        <v>39</v>
      </c>
    </row>
    <row r="892" spans="1:4" x14ac:dyDescent="0.25">
      <c r="A892" s="11">
        <v>3460</v>
      </c>
      <c r="B892" s="10" t="s">
        <v>37</v>
      </c>
      <c r="C892" s="10" t="s">
        <v>72</v>
      </c>
      <c r="D892" s="10" t="s">
        <v>39</v>
      </c>
    </row>
    <row r="893" spans="1:4" x14ac:dyDescent="0.25">
      <c r="A893" s="11">
        <v>3460</v>
      </c>
      <c r="B893" s="10" t="s">
        <v>37</v>
      </c>
      <c r="C893" s="10" t="s">
        <v>72</v>
      </c>
      <c r="D893" s="10" t="s">
        <v>39</v>
      </c>
    </row>
    <row r="894" spans="1:4" x14ac:dyDescent="0.25">
      <c r="A894" s="11">
        <v>3460</v>
      </c>
      <c r="B894" s="10" t="s">
        <v>37</v>
      </c>
      <c r="C894" s="10" t="s">
        <v>72</v>
      </c>
      <c r="D894" s="10" t="s">
        <v>39</v>
      </c>
    </row>
    <row r="895" spans="1:4" x14ac:dyDescent="0.25">
      <c r="A895" s="11">
        <v>3460</v>
      </c>
      <c r="B895" s="10" t="s">
        <v>37</v>
      </c>
      <c r="C895" s="10" t="s">
        <v>72</v>
      </c>
      <c r="D895" s="10" t="s">
        <v>39</v>
      </c>
    </row>
    <row r="896" spans="1:4" x14ac:dyDescent="0.25">
      <c r="A896" s="11">
        <v>3460</v>
      </c>
      <c r="B896" s="10" t="s">
        <v>37</v>
      </c>
      <c r="C896" s="10" t="s">
        <v>72</v>
      </c>
      <c r="D896" s="10" t="s">
        <v>39</v>
      </c>
    </row>
    <row r="897" spans="1:4" x14ac:dyDescent="0.25">
      <c r="A897" s="11">
        <v>3460</v>
      </c>
      <c r="B897" s="10" t="s">
        <v>37</v>
      </c>
      <c r="C897" s="10" t="s">
        <v>72</v>
      </c>
      <c r="D897" s="10" t="s">
        <v>39</v>
      </c>
    </row>
    <row r="898" spans="1:4" x14ac:dyDescent="0.25">
      <c r="A898" s="11">
        <v>3460</v>
      </c>
      <c r="B898" s="10" t="s">
        <v>37</v>
      </c>
      <c r="C898" s="10" t="s">
        <v>72</v>
      </c>
      <c r="D898" s="10" t="s">
        <v>39</v>
      </c>
    </row>
    <row r="899" spans="1:4" x14ac:dyDescent="0.25">
      <c r="A899" s="11">
        <v>3460</v>
      </c>
      <c r="B899" s="10" t="s">
        <v>37</v>
      </c>
      <c r="C899" s="10" t="s">
        <v>72</v>
      </c>
      <c r="D899" s="10" t="s">
        <v>39</v>
      </c>
    </row>
    <row r="900" spans="1:4" x14ac:dyDescent="0.25">
      <c r="A900" s="11">
        <v>3460</v>
      </c>
      <c r="B900" s="10" t="s">
        <v>37</v>
      </c>
      <c r="C900" s="10" t="s">
        <v>72</v>
      </c>
      <c r="D900" s="10" t="s">
        <v>39</v>
      </c>
    </row>
    <row r="901" spans="1:4" x14ac:dyDescent="0.25">
      <c r="A901" s="11">
        <v>3460</v>
      </c>
      <c r="B901" s="10" t="s">
        <v>37</v>
      </c>
      <c r="C901" s="10" t="s">
        <v>72</v>
      </c>
      <c r="D901" s="10" t="s">
        <v>39</v>
      </c>
    </row>
    <row r="902" spans="1:4" x14ac:dyDescent="0.25">
      <c r="A902" s="11">
        <v>3460</v>
      </c>
      <c r="B902" s="10" t="s">
        <v>37</v>
      </c>
      <c r="C902" s="10" t="s">
        <v>72</v>
      </c>
      <c r="D902" s="10" t="s">
        <v>39</v>
      </c>
    </row>
    <row r="903" spans="1:4" x14ac:dyDescent="0.25">
      <c r="A903" s="11">
        <v>3460</v>
      </c>
      <c r="B903" s="10" t="s">
        <v>37</v>
      </c>
      <c r="C903" s="10" t="s">
        <v>72</v>
      </c>
      <c r="D903" s="10" t="s">
        <v>39</v>
      </c>
    </row>
    <row r="904" spans="1:4" x14ac:dyDescent="0.25">
      <c r="A904" s="11">
        <v>3460</v>
      </c>
      <c r="B904" s="10" t="s">
        <v>37</v>
      </c>
      <c r="C904" s="10" t="s">
        <v>72</v>
      </c>
      <c r="D904" s="10" t="s">
        <v>39</v>
      </c>
    </row>
    <row r="905" spans="1:4" x14ac:dyDescent="0.25">
      <c r="A905" s="11">
        <v>3460</v>
      </c>
      <c r="B905" s="10" t="s">
        <v>37</v>
      </c>
      <c r="C905" s="10" t="s">
        <v>72</v>
      </c>
      <c r="D905" s="10" t="s">
        <v>39</v>
      </c>
    </row>
    <row r="906" spans="1:4" x14ac:dyDescent="0.25">
      <c r="A906" s="11">
        <v>3460</v>
      </c>
      <c r="B906" s="10" t="s">
        <v>37</v>
      </c>
      <c r="C906" s="10" t="s">
        <v>72</v>
      </c>
      <c r="D906" s="10" t="s">
        <v>39</v>
      </c>
    </row>
    <row r="907" spans="1:4" x14ac:dyDescent="0.25">
      <c r="A907" s="11">
        <v>3460</v>
      </c>
      <c r="B907" s="10" t="s">
        <v>37</v>
      </c>
      <c r="C907" s="10" t="s">
        <v>72</v>
      </c>
      <c r="D907" s="10" t="s">
        <v>39</v>
      </c>
    </row>
    <row r="908" spans="1:4" x14ac:dyDescent="0.25">
      <c r="A908" s="11">
        <v>3460</v>
      </c>
      <c r="B908" s="10" t="s">
        <v>37</v>
      </c>
      <c r="C908" s="10" t="s">
        <v>72</v>
      </c>
      <c r="D908" s="10" t="s">
        <v>39</v>
      </c>
    </row>
    <row r="909" spans="1:4" x14ac:dyDescent="0.25">
      <c r="A909" s="11">
        <v>3460</v>
      </c>
      <c r="B909" s="10" t="s">
        <v>37</v>
      </c>
      <c r="C909" s="10" t="s">
        <v>72</v>
      </c>
      <c r="D909" s="10" t="s">
        <v>39</v>
      </c>
    </row>
    <row r="910" spans="1:4" x14ac:dyDescent="0.25">
      <c r="A910" s="11">
        <v>3460</v>
      </c>
      <c r="B910" s="10" t="s">
        <v>37</v>
      </c>
      <c r="C910" s="10" t="s">
        <v>72</v>
      </c>
      <c r="D910" s="10" t="s">
        <v>39</v>
      </c>
    </row>
    <row r="911" spans="1:4" x14ac:dyDescent="0.25">
      <c r="A911" s="11">
        <v>3460</v>
      </c>
      <c r="B911" s="10" t="s">
        <v>37</v>
      </c>
      <c r="C911" s="10" t="s">
        <v>72</v>
      </c>
      <c r="D911" s="10" t="s">
        <v>39</v>
      </c>
    </row>
    <row r="912" spans="1:4" x14ac:dyDescent="0.25">
      <c r="A912" s="11">
        <v>3460</v>
      </c>
      <c r="B912" s="10" t="s">
        <v>37</v>
      </c>
      <c r="C912" s="10" t="s">
        <v>72</v>
      </c>
      <c r="D912" s="10" t="s">
        <v>39</v>
      </c>
    </row>
    <row r="913" spans="1:4" x14ac:dyDescent="0.25">
      <c r="A913" s="11">
        <v>3460</v>
      </c>
      <c r="B913" s="10" t="s">
        <v>37</v>
      </c>
      <c r="C913" s="10" t="s">
        <v>72</v>
      </c>
      <c r="D913" s="10" t="s">
        <v>39</v>
      </c>
    </row>
    <row r="914" spans="1:4" x14ac:dyDescent="0.25">
      <c r="A914" s="11">
        <v>3460</v>
      </c>
      <c r="B914" s="10" t="s">
        <v>37</v>
      </c>
      <c r="C914" s="10" t="s">
        <v>72</v>
      </c>
      <c r="D914" s="10" t="s">
        <v>39</v>
      </c>
    </row>
    <row r="915" spans="1:4" x14ac:dyDescent="0.25">
      <c r="A915" s="11">
        <v>3460</v>
      </c>
      <c r="B915" s="10" t="s">
        <v>37</v>
      </c>
      <c r="C915" s="10" t="s">
        <v>72</v>
      </c>
      <c r="D915" s="10" t="s">
        <v>39</v>
      </c>
    </row>
    <row r="916" spans="1:4" x14ac:dyDescent="0.25">
      <c r="A916" s="11">
        <v>3460</v>
      </c>
      <c r="B916" s="10" t="s">
        <v>37</v>
      </c>
      <c r="C916" s="10" t="s">
        <v>72</v>
      </c>
      <c r="D916" s="10" t="s">
        <v>39</v>
      </c>
    </row>
    <row r="917" spans="1:4" x14ac:dyDescent="0.25">
      <c r="A917" s="11">
        <v>3460</v>
      </c>
      <c r="B917" s="10" t="s">
        <v>37</v>
      </c>
      <c r="C917" s="10" t="s">
        <v>72</v>
      </c>
      <c r="D917" s="10" t="s">
        <v>39</v>
      </c>
    </row>
    <row r="918" spans="1:4" x14ac:dyDescent="0.25">
      <c r="A918" s="11">
        <v>3460</v>
      </c>
      <c r="B918" s="10" t="s">
        <v>37</v>
      </c>
      <c r="C918" s="10" t="s">
        <v>72</v>
      </c>
      <c r="D918" s="10" t="s">
        <v>39</v>
      </c>
    </row>
    <row r="919" spans="1:4" x14ac:dyDescent="0.25">
      <c r="A919" s="11">
        <v>3460</v>
      </c>
      <c r="B919" s="10" t="s">
        <v>37</v>
      </c>
      <c r="C919" s="10" t="s">
        <v>72</v>
      </c>
      <c r="D919" s="10" t="s">
        <v>39</v>
      </c>
    </row>
    <row r="920" spans="1:4" x14ac:dyDescent="0.25">
      <c r="A920" s="11">
        <v>3460</v>
      </c>
      <c r="B920" s="10" t="s">
        <v>37</v>
      </c>
      <c r="C920" s="10" t="s">
        <v>72</v>
      </c>
      <c r="D920" s="10" t="s">
        <v>39</v>
      </c>
    </row>
    <row r="921" spans="1:4" x14ac:dyDescent="0.25">
      <c r="A921" s="11">
        <v>3460</v>
      </c>
      <c r="B921" s="10" t="s">
        <v>37</v>
      </c>
      <c r="C921" s="10" t="s">
        <v>72</v>
      </c>
      <c r="D921" s="10" t="s">
        <v>39</v>
      </c>
    </row>
    <row r="922" spans="1:4" x14ac:dyDescent="0.25">
      <c r="A922" s="11">
        <v>3460</v>
      </c>
      <c r="B922" s="10" t="s">
        <v>37</v>
      </c>
      <c r="C922" s="10" t="s">
        <v>72</v>
      </c>
      <c r="D922" s="10" t="s">
        <v>39</v>
      </c>
    </row>
    <row r="923" spans="1:4" x14ac:dyDescent="0.25">
      <c r="A923" s="11">
        <v>3460</v>
      </c>
      <c r="B923" s="10" t="s">
        <v>37</v>
      </c>
      <c r="C923" s="10" t="s">
        <v>72</v>
      </c>
      <c r="D923" s="10" t="s">
        <v>39</v>
      </c>
    </row>
    <row r="924" spans="1:4" x14ac:dyDescent="0.25">
      <c r="A924" s="11">
        <v>3460</v>
      </c>
      <c r="B924" s="10" t="s">
        <v>37</v>
      </c>
      <c r="C924" s="10" t="s">
        <v>72</v>
      </c>
      <c r="D924" s="10" t="s">
        <v>39</v>
      </c>
    </row>
    <row r="925" spans="1:4" x14ac:dyDescent="0.25">
      <c r="A925" s="11">
        <v>3460</v>
      </c>
      <c r="B925" s="10" t="s">
        <v>37</v>
      </c>
      <c r="C925" s="10" t="s">
        <v>72</v>
      </c>
      <c r="D925" s="10" t="s">
        <v>39</v>
      </c>
    </row>
    <row r="926" spans="1:4" x14ac:dyDescent="0.25">
      <c r="A926" s="11">
        <v>3460</v>
      </c>
      <c r="B926" s="10" t="s">
        <v>37</v>
      </c>
      <c r="C926" s="10" t="s">
        <v>72</v>
      </c>
      <c r="D926" s="10" t="s">
        <v>39</v>
      </c>
    </row>
    <row r="927" spans="1:4" x14ac:dyDescent="0.25">
      <c r="A927" s="11">
        <v>3460</v>
      </c>
      <c r="B927" s="10" t="s">
        <v>37</v>
      </c>
      <c r="C927" s="10" t="s">
        <v>72</v>
      </c>
      <c r="D927" s="10" t="s">
        <v>39</v>
      </c>
    </row>
    <row r="928" spans="1:4" x14ac:dyDescent="0.25">
      <c r="A928" s="11">
        <v>3460</v>
      </c>
      <c r="B928" s="10" t="s">
        <v>37</v>
      </c>
      <c r="C928" s="10" t="s">
        <v>72</v>
      </c>
      <c r="D928" s="10" t="s">
        <v>39</v>
      </c>
    </row>
    <row r="929" spans="1:4" x14ac:dyDescent="0.25">
      <c r="A929" s="11">
        <v>3460</v>
      </c>
      <c r="B929" s="10" t="s">
        <v>37</v>
      </c>
      <c r="C929" s="10" t="s">
        <v>72</v>
      </c>
      <c r="D929" s="10" t="s">
        <v>39</v>
      </c>
    </row>
    <row r="930" spans="1:4" x14ac:dyDescent="0.25">
      <c r="A930" s="11">
        <v>3460</v>
      </c>
      <c r="B930" s="10" t="s">
        <v>37</v>
      </c>
      <c r="C930" s="10" t="s">
        <v>72</v>
      </c>
      <c r="D930" s="10" t="s">
        <v>39</v>
      </c>
    </row>
    <row r="931" spans="1:4" x14ac:dyDescent="0.25">
      <c r="A931" s="11">
        <v>3461</v>
      </c>
      <c r="B931" s="10" t="s">
        <v>37</v>
      </c>
      <c r="C931" s="10" t="s">
        <v>104</v>
      </c>
      <c r="D931" s="10" t="s">
        <v>39</v>
      </c>
    </row>
    <row r="932" spans="1:4" x14ac:dyDescent="0.25">
      <c r="A932" s="11">
        <v>3461</v>
      </c>
      <c r="B932" s="10" t="s">
        <v>37</v>
      </c>
      <c r="C932" s="10" t="s">
        <v>104</v>
      </c>
      <c r="D932" s="10" t="s">
        <v>39</v>
      </c>
    </row>
    <row r="933" spans="1:4" x14ac:dyDescent="0.25">
      <c r="A933" s="11">
        <v>3461</v>
      </c>
      <c r="B933" s="10" t="s">
        <v>37</v>
      </c>
      <c r="C933" s="10" t="s">
        <v>104</v>
      </c>
      <c r="D933" s="10" t="s">
        <v>39</v>
      </c>
    </row>
    <row r="934" spans="1:4" x14ac:dyDescent="0.25">
      <c r="A934" s="11">
        <v>3461</v>
      </c>
      <c r="B934" s="10" t="s">
        <v>37</v>
      </c>
      <c r="C934" s="10" t="s">
        <v>104</v>
      </c>
      <c r="D934" s="10" t="s">
        <v>39</v>
      </c>
    </row>
    <row r="935" spans="1:4" x14ac:dyDescent="0.25">
      <c r="A935" s="11">
        <v>3461</v>
      </c>
      <c r="B935" s="10" t="s">
        <v>37</v>
      </c>
      <c r="C935" s="10" t="s">
        <v>104</v>
      </c>
      <c r="D935" s="10" t="s">
        <v>39</v>
      </c>
    </row>
    <row r="936" spans="1:4" x14ac:dyDescent="0.25">
      <c r="A936" s="11">
        <v>3461</v>
      </c>
      <c r="B936" s="10" t="s">
        <v>37</v>
      </c>
      <c r="C936" s="10" t="s">
        <v>104</v>
      </c>
      <c r="D936" s="10" t="s">
        <v>39</v>
      </c>
    </row>
    <row r="937" spans="1:4" x14ac:dyDescent="0.25">
      <c r="A937" s="11">
        <v>3461</v>
      </c>
      <c r="B937" s="10" t="s">
        <v>37</v>
      </c>
      <c r="C937" s="10" t="s">
        <v>104</v>
      </c>
      <c r="D937" s="10" t="s">
        <v>39</v>
      </c>
    </row>
    <row r="938" spans="1:4" x14ac:dyDescent="0.25">
      <c r="A938" s="11">
        <v>3461</v>
      </c>
      <c r="B938" s="10" t="s">
        <v>37</v>
      </c>
      <c r="C938" s="10" t="s">
        <v>104</v>
      </c>
      <c r="D938" s="10" t="s">
        <v>39</v>
      </c>
    </row>
    <row r="939" spans="1:4" x14ac:dyDescent="0.25">
      <c r="A939" s="11">
        <v>3461</v>
      </c>
      <c r="B939" s="10" t="s">
        <v>37</v>
      </c>
      <c r="C939" s="10" t="s">
        <v>104</v>
      </c>
      <c r="D939" s="10" t="s">
        <v>39</v>
      </c>
    </row>
    <row r="940" spans="1:4" x14ac:dyDescent="0.25">
      <c r="A940" s="11">
        <v>3461</v>
      </c>
      <c r="B940" s="10" t="s">
        <v>37</v>
      </c>
      <c r="C940" s="10" t="s">
        <v>104</v>
      </c>
      <c r="D940" s="10" t="s">
        <v>39</v>
      </c>
    </row>
    <row r="941" spans="1:4" x14ac:dyDescent="0.25">
      <c r="A941" s="11">
        <v>3461</v>
      </c>
      <c r="B941" s="10" t="s">
        <v>37</v>
      </c>
      <c r="C941" s="10" t="s">
        <v>104</v>
      </c>
      <c r="D941" s="10" t="s">
        <v>39</v>
      </c>
    </row>
    <row r="942" spans="1:4" x14ac:dyDescent="0.25">
      <c r="A942" s="11">
        <v>3461</v>
      </c>
      <c r="B942" s="10" t="s">
        <v>37</v>
      </c>
      <c r="C942" s="10" t="s">
        <v>104</v>
      </c>
      <c r="D942" s="10" t="s">
        <v>39</v>
      </c>
    </row>
    <row r="943" spans="1:4" x14ac:dyDescent="0.25">
      <c r="A943" s="11">
        <v>3461</v>
      </c>
      <c r="B943" s="10" t="s">
        <v>37</v>
      </c>
      <c r="C943" s="10" t="s">
        <v>104</v>
      </c>
      <c r="D943" s="10" t="s">
        <v>39</v>
      </c>
    </row>
    <row r="944" spans="1:4" x14ac:dyDescent="0.25">
      <c r="A944" s="11">
        <v>3461</v>
      </c>
      <c r="B944" s="10" t="s">
        <v>37</v>
      </c>
      <c r="C944" s="10" t="s">
        <v>104</v>
      </c>
      <c r="D944" s="10" t="s">
        <v>39</v>
      </c>
    </row>
    <row r="945" spans="1:4" x14ac:dyDescent="0.25">
      <c r="A945" s="11">
        <v>3461</v>
      </c>
      <c r="B945" s="10" t="s">
        <v>37</v>
      </c>
      <c r="C945" s="10" t="s">
        <v>104</v>
      </c>
      <c r="D945" s="10" t="s">
        <v>39</v>
      </c>
    </row>
    <row r="946" spans="1:4" x14ac:dyDescent="0.25">
      <c r="A946" s="11">
        <v>3461</v>
      </c>
      <c r="B946" s="10" t="s">
        <v>37</v>
      </c>
      <c r="C946" s="10" t="s">
        <v>104</v>
      </c>
      <c r="D946" s="10" t="s">
        <v>39</v>
      </c>
    </row>
    <row r="947" spans="1:4" x14ac:dyDescent="0.25">
      <c r="A947" s="11">
        <v>3461</v>
      </c>
      <c r="B947" s="10" t="s">
        <v>37</v>
      </c>
      <c r="C947" s="10" t="s">
        <v>104</v>
      </c>
      <c r="D947" s="10" t="s">
        <v>39</v>
      </c>
    </row>
    <row r="948" spans="1:4" x14ac:dyDescent="0.25">
      <c r="A948" s="11">
        <v>3461</v>
      </c>
      <c r="B948" s="10" t="s">
        <v>37</v>
      </c>
      <c r="C948" s="10" t="s">
        <v>104</v>
      </c>
      <c r="D948" s="10" t="s">
        <v>39</v>
      </c>
    </row>
    <row r="949" spans="1:4" x14ac:dyDescent="0.25">
      <c r="A949" s="11">
        <v>3461</v>
      </c>
      <c r="B949" s="10" t="s">
        <v>37</v>
      </c>
      <c r="C949" s="10" t="s">
        <v>104</v>
      </c>
      <c r="D949" s="10" t="s">
        <v>39</v>
      </c>
    </row>
    <row r="950" spans="1:4" x14ac:dyDescent="0.25">
      <c r="A950" s="11">
        <v>3461</v>
      </c>
      <c r="B950" s="10" t="s">
        <v>37</v>
      </c>
      <c r="C950" s="10" t="s">
        <v>104</v>
      </c>
      <c r="D950" s="10" t="s">
        <v>39</v>
      </c>
    </row>
    <row r="951" spans="1:4" x14ac:dyDescent="0.25">
      <c r="A951" s="11">
        <v>3461</v>
      </c>
      <c r="B951" s="10" t="s">
        <v>37</v>
      </c>
      <c r="C951" s="10" t="s">
        <v>104</v>
      </c>
      <c r="D951" s="10" t="s">
        <v>39</v>
      </c>
    </row>
    <row r="952" spans="1:4" x14ac:dyDescent="0.25">
      <c r="A952" s="11">
        <v>3461</v>
      </c>
      <c r="B952" s="10" t="s">
        <v>37</v>
      </c>
      <c r="C952" s="10" t="s">
        <v>104</v>
      </c>
      <c r="D952" s="10" t="s">
        <v>39</v>
      </c>
    </row>
    <row r="953" spans="1:4" x14ac:dyDescent="0.25">
      <c r="A953" s="11">
        <v>3461</v>
      </c>
      <c r="B953" s="10" t="s">
        <v>37</v>
      </c>
      <c r="C953" s="10" t="s">
        <v>104</v>
      </c>
      <c r="D953" s="10" t="s">
        <v>39</v>
      </c>
    </row>
    <row r="954" spans="1:4" x14ac:dyDescent="0.25">
      <c r="A954" s="11">
        <v>3461</v>
      </c>
      <c r="B954" s="10" t="s">
        <v>37</v>
      </c>
      <c r="C954" s="10" t="s">
        <v>104</v>
      </c>
      <c r="D954" s="10" t="s">
        <v>39</v>
      </c>
    </row>
    <row r="955" spans="1:4" x14ac:dyDescent="0.25">
      <c r="A955" s="11">
        <v>3461</v>
      </c>
      <c r="B955" s="10" t="s">
        <v>37</v>
      </c>
      <c r="C955" s="10" t="s">
        <v>104</v>
      </c>
      <c r="D955" s="10" t="s">
        <v>39</v>
      </c>
    </row>
    <row r="956" spans="1:4" x14ac:dyDescent="0.25">
      <c r="A956" s="11">
        <v>3461</v>
      </c>
      <c r="B956" s="10" t="s">
        <v>37</v>
      </c>
      <c r="C956" s="10" t="s">
        <v>104</v>
      </c>
      <c r="D956" s="10" t="s">
        <v>39</v>
      </c>
    </row>
    <row r="957" spans="1:4" x14ac:dyDescent="0.25">
      <c r="A957" s="11">
        <v>3461</v>
      </c>
      <c r="B957" s="10" t="s">
        <v>37</v>
      </c>
      <c r="C957" s="10" t="s">
        <v>104</v>
      </c>
      <c r="D957" s="10" t="s">
        <v>39</v>
      </c>
    </row>
    <row r="958" spans="1:4" x14ac:dyDescent="0.25">
      <c r="A958" s="11">
        <v>3461</v>
      </c>
      <c r="B958" s="10" t="s">
        <v>37</v>
      </c>
      <c r="C958" s="10" t="s">
        <v>104</v>
      </c>
      <c r="D958" s="10" t="s">
        <v>39</v>
      </c>
    </row>
    <row r="959" spans="1:4" x14ac:dyDescent="0.25">
      <c r="A959" s="11">
        <v>3461</v>
      </c>
      <c r="B959" s="10" t="s">
        <v>37</v>
      </c>
      <c r="C959" s="10" t="s">
        <v>104</v>
      </c>
      <c r="D959" s="10" t="s">
        <v>39</v>
      </c>
    </row>
    <row r="960" spans="1:4" x14ac:dyDescent="0.25">
      <c r="A960" s="11">
        <v>3461</v>
      </c>
      <c r="B960" s="10" t="s">
        <v>37</v>
      </c>
      <c r="C960" s="10" t="s">
        <v>104</v>
      </c>
      <c r="D960" s="10" t="s">
        <v>39</v>
      </c>
    </row>
    <row r="961" spans="1:4" x14ac:dyDescent="0.25">
      <c r="A961" s="11">
        <v>3461</v>
      </c>
      <c r="B961" s="10" t="s">
        <v>37</v>
      </c>
      <c r="C961" s="10" t="s">
        <v>104</v>
      </c>
      <c r="D961" s="10" t="s">
        <v>39</v>
      </c>
    </row>
    <row r="962" spans="1:4" x14ac:dyDescent="0.25">
      <c r="A962" s="11">
        <v>3461</v>
      </c>
      <c r="B962" s="10" t="s">
        <v>37</v>
      </c>
      <c r="C962" s="10" t="s">
        <v>104</v>
      </c>
      <c r="D962" s="10" t="s">
        <v>39</v>
      </c>
    </row>
    <row r="963" spans="1:4" x14ac:dyDescent="0.25">
      <c r="A963" s="11">
        <v>3461</v>
      </c>
      <c r="B963" s="10" t="s">
        <v>37</v>
      </c>
      <c r="C963" s="10" t="s">
        <v>104</v>
      </c>
      <c r="D963" s="10" t="s">
        <v>39</v>
      </c>
    </row>
    <row r="964" spans="1:4" x14ac:dyDescent="0.25">
      <c r="A964" s="11">
        <v>3461</v>
      </c>
      <c r="B964" s="10" t="s">
        <v>37</v>
      </c>
      <c r="C964" s="10" t="s">
        <v>104</v>
      </c>
      <c r="D964" s="10" t="s">
        <v>39</v>
      </c>
    </row>
    <row r="965" spans="1:4" x14ac:dyDescent="0.25">
      <c r="A965" s="11">
        <v>3461</v>
      </c>
      <c r="B965" s="10" t="s">
        <v>37</v>
      </c>
      <c r="C965" s="10" t="s">
        <v>104</v>
      </c>
      <c r="D965" s="10" t="s">
        <v>39</v>
      </c>
    </row>
    <row r="966" spans="1:4" x14ac:dyDescent="0.25">
      <c r="A966" s="11">
        <v>3461</v>
      </c>
      <c r="B966" s="10" t="s">
        <v>37</v>
      </c>
      <c r="C966" s="10" t="s">
        <v>104</v>
      </c>
      <c r="D966" s="10" t="s">
        <v>39</v>
      </c>
    </row>
    <row r="967" spans="1:4" x14ac:dyDescent="0.25">
      <c r="A967" s="11">
        <v>3461</v>
      </c>
      <c r="B967" s="10" t="s">
        <v>37</v>
      </c>
      <c r="C967" s="10" t="s">
        <v>104</v>
      </c>
      <c r="D967" s="10" t="s">
        <v>39</v>
      </c>
    </row>
    <row r="968" spans="1:4" x14ac:dyDescent="0.25">
      <c r="A968" s="11">
        <v>3461</v>
      </c>
      <c r="B968" s="10" t="s">
        <v>37</v>
      </c>
      <c r="C968" s="10" t="s">
        <v>104</v>
      </c>
      <c r="D968" s="10" t="s">
        <v>39</v>
      </c>
    </row>
    <row r="969" spans="1:4" x14ac:dyDescent="0.25">
      <c r="A969" s="11">
        <v>3461</v>
      </c>
      <c r="B969" s="10" t="s">
        <v>37</v>
      </c>
      <c r="C969" s="10" t="s">
        <v>104</v>
      </c>
      <c r="D969" s="10" t="s">
        <v>39</v>
      </c>
    </row>
    <row r="970" spans="1:4" x14ac:dyDescent="0.25">
      <c r="A970" s="11">
        <v>3461</v>
      </c>
      <c r="B970" s="10" t="s">
        <v>37</v>
      </c>
      <c r="C970" s="10" t="s">
        <v>104</v>
      </c>
      <c r="D970" s="10" t="s">
        <v>39</v>
      </c>
    </row>
    <row r="971" spans="1:4" x14ac:dyDescent="0.25">
      <c r="A971" s="11">
        <v>3461</v>
      </c>
      <c r="B971" s="10" t="s">
        <v>37</v>
      </c>
      <c r="C971" s="10" t="s">
        <v>104</v>
      </c>
      <c r="D971" s="10" t="s">
        <v>39</v>
      </c>
    </row>
    <row r="972" spans="1:4" x14ac:dyDescent="0.25">
      <c r="A972" s="11">
        <v>3461</v>
      </c>
      <c r="B972" s="10" t="s">
        <v>37</v>
      </c>
      <c r="C972" s="10" t="s">
        <v>104</v>
      </c>
      <c r="D972" s="10" t="s">
        <v>39</v>
      </c>
    </row>
    <row r="973" spans="1:4" x14ac:dyDescent="0.25">
      <c r="A973" s="11">
        <v>3461</v>
      </c>
      <c r="B973" s="10" t="s">
        <v>37</v>
      </c>
      <c r="C973" s="10" t="s">
        <v>104</v>
      </c>
      <c r="D973" s="10" t="s">
        <v>39</v>
      </c>
    </row>
    <row r="974" spans="1:4" x14ac:dyDescent="0.25">
      <c r="A974" s="11">
        <v>3461</v>
      </c>
      <c r="B974" s="10" t="s">
        <v>37</v>
      </c>
      <c r="C974" s="10" t="s">
        <v>104</v>
      </c>
      <c r="D974" s="10" t="s">
        <v>39</v>
      </c>
    </row>
    <row r="975" spans="1:4" x14ac:dyDescent="0.25">
      <c r="A975" s="11">
        <v>3461</v>
      </c>
      <c r="B975" s="10" t="s">
        <v>37</v>
      </c>
      <c r="C975" s="10" t="s">
        <v>104</v>
      </c>
      <c r="D975" s="10" t="s">
        <v>39</v>
      </c>
    </row>
    <row r="976" spans="1:4" x14ac:dyDescent="0.25">
      <c r="A976" s="11">
        <v>3461</v>
      </c>
      <c r="B976" s="10" t="s">
        <v>37</v>
      </c>
      <c r="C976" s="10" t="s">
        <v>104</v>
      </c>
      <c r="D976" s="10" t="s">
        <v>39</v>
      </c>
    </row>
    <row r="977" spans="1:4" x14ac:dyDescent="0.25">
      <c r="A977" s="11">
        <v>3461</v>
      </c>
      <c r="B977" s="10" t="s">
        <v>37</v>
      </c>
      <c r="C977" s="10" t="s">
        <v>104</v>
      </c>
      <c r="D977" s="10" t="s">
        <v>39</v>
      </c>
    </row>
    <row r="978" spans="1:4" x14ac:dyDescent="0.25">
      <c r="A978" s="11">
        <v>3461</v>
      </c>
      <c r="B978" s="10" t="s">
        <v>37</v>
      </c>
      <c r="C978" s="10" t="s">
        <v>104</v>
      </c>
      <c r="D978" s="10" t="s">
        <v>39</v>
      </c>
    </row>
    <row r="979" spans="1:4" x14ac:dyDescent="0.25">
      <c r="A979" s="11">
        <v>3463</v>
      </c>
      <c r="B979" s="10" t="s">
        <v>37</v>
      </c>
      <c r="C979" s="10" t="s">
        <v>73</v>
      </c>
      <c r="D979" s="10" t="s">
        <v>39</v>
      </c>
    </row>
    <row r="980" spans="1:4" x14ac:dyDescent="0.25">
      <c r="A980" s="11">
        <v>3463</v>
      </c>
      <c r="B980" s="10" t="s">
        <v>37</v>
      </c>
      <c r="C980" s="10" t="s">
        <v>73</v>
      </c>
      <c r="D980" s="10" t="s">
        <v>39</v>
      </c>
    </row>
    <row r="981" spans="1:4" x14ac:dyDescent="0.25">
      <c r="A981" s="11">
        <v>3463</v>
      </c>
      <c r="B981" s="10" t="s">
        <v>37</v>
      </c>
      <c r="C981" s="10" t="s">
        <v>73</v>
      </c>
      <c r="D981" s="10" t="s">
        <v>39</v>
      </c>
    </row>
    <row r="982" spans="1:4" x14ac:dyDescent="0.25">
      <c r="A982" s="11">
        <v>3463</v>
      </c>
      <c r="B982" s="10" t="s">
        <v>37</v>
      </c>
      <c r="C982" s="10" t="s">
        <v>73</v>
      </c>
      <c r="D982" s="10" t="s">
        <v>39</v>
      </c>
    </row>
    <row r="983" spans="1:4" x14ac:dyDescent="0.25">
      <c r="A983" s="11">
        <v>3463</v>
      </c>
      <c r="B983" s="10" t="s">
        <v>37</v>
      </c>
      <c r="C983" s="10" t="s">
        <v>73</v>
      </c>
      <c r="D983" s="10" t="s">
        <v>39</v>
      </c>
    </row>
    <row r="984" spans="1:4" x14ac:dyDescent="0.25">
      <c r="A984" s="11">
        <v>3463</v>
      </c>
      <c r="B984" s="10" t="s">
        <v>37</v>
      </c>
      <c r="C984" s="10" t="s">
        <v>73</v>
      </c>
      <c r="D984" s="10" t="s">
        <v>39</v>
      </c>
    </row>
    <row r="985" spans="1:4" x14ac:dyDescent="0.25">
      <c r="A985" s="11">
        <v>3463</v>
      </c>
      <c r="B985" s="10" t="s">
        <v>37</v>
      </c>
      <c r="C985" s="10" t="s">
        <v>73</v>
      </c>
      <c r="D985" s="10" t="s">
        <v>39</v>
      </c>
    </row>
    <row r="986" spans="1:4" x14ac:dyDescent="0.25">
      <c r="A986" s="11">
        <v>3463</v>
      </c>
      <c r="B986" s="10" t="s">
        <v>37</v>
      </c>
      <c r="C986" s="10" t="s">
        <v>73</v>
      </c>
      <c r="D986" s="10" t="s">
        <v>39</v>
      </c>
    </row>
    <row r="987" spans="1:4" x14ac:dyDescent="0.25">
      <c r="A987" s="11">
        <v>3463</v>
      </c>
      <c r="B987" s="10" t="s">
        <v>37</v>
      </c>
      <c r="C987" s="10" t="s">
        <v>73</v>
      </c>
      <c r="D987" s="10" t="s">
        <v>39</v>
      </c>
    </row>
    <row r="988" spans="1:4" x14ac:dyDescent="0.25">
      <c r="A988" s="11">
        <v>3463</v>
      </c>
      <c r="B988" s="10" t="s">
        <v>37</v>
      </c>
      <c r="C988" s="10" t="s">
        <v>73</v>
      </c>
      <c r="D988" s="10" t="s">
        <v>39</v>
      </c>
    </row>
    <row r="989" spans="1:4" x14ac:dyDescent="0.25">
      <c r="A989" s="11">
        <v>3463</v>
      </c>
      <c r="B989" s="10" t="s">
        <v>37</v>
      </c>
      <c r="C989" s="10" t="s">
        <v>73</v>
      </c>
      <c r="D989" s="10" t="s">
        <v>39</v>
      </c>
    </row>
    <row r="990" spans="1:4" x14ac:dyDescent="0.25">
      <c r="A990" s="11">
        <v>3463</v>
      </c>
      <c r="B990" s="10" t="s">
        <v>37</v>
      </c>
      <c r="C990" s="10" t="s">
        <v>73</v>
      </c>
      <c r="D990" s="10" t="s">
        <v>39</v>
      </c>
    </row>
    <row r="991" spans="1:4" x14ac:dyDescent="0.25">
      <c r="A991" s="11">
        <v>3463</v>
      </c>
      <c r="B991" s="10" t="s">
        <v>37</v>
      </c>
      <c r="C991" s="10" t="s">
        <v>73</v>
      </c>
      <c r="D991" s="10" t="s">
        <v>39</v>
      </c>
    </row>
    <row r="992" spans="1:4" x14ac:dyDescent="0.25">
      <c r="A992" s="11">
        <v>3463</v>
      </c>
      <c r="B992" s="10" t="s">
        <v>37</v>
      </c>
      <c r="C992" s="10" t="s">
        <v>73</v>
      </c>
      <c r="D992" s="10" t="s">
        <v>39</v>
      </c>
    </row>
    <row r="993" spans="1:4" x14ac:dyDescent="0.25">
      <c r="A993" s="11">
        <v>3464</v>
      </c>
      <c r="B993" s="10" t="s">
        <v>37</v>
      </c>
      <c r="C993" s="10" t="s">
        <v>74</v>
      </c>
      <c r="D993" s="10" t="s">
        <v>46</v>
      </c>
    </row>
    <row r="994" spans="1:4" x14ac:dyDescent="0.25">
      <c r="A994" s="11">
        <v>3464</v>
      </c>
      <c r="B994" s="10" t="s">
        <v>37</v>
      </c>
      <c r="C994" s="10" t="s">
        <v>74</v>
      </c>
      <c r="D994" s="10" t="s">
        <v>46</v>
      </c>
    </row>
    <row r="995" spans="1:4" x14ac:dyDescent="0.25">
      <c r="A995" s="11">
        <v>3464</v>
      </c>
      <c r="B995" s="10" t="s">
        <v>37</v>
      </c>
      <c r="C995" s="10" t="s">
        <v>74</v>
      </c>
      <c r="D995" s="10" t="s">
        <v>46</v>
      </c>
    </row>
    <row r="996" spans="1:4" x14ac:dyDescent="0.25">
      <c r="A996" s="11">
        <v>3464</v>
      </c>
      <c r="B996" s="10" t="s">
        <v>37</v>
      </c>
      <c r="C996" s="10" t="s">
        <v>74</v>
      </c>
      <c r="D996" s="10" t="s">
        <v>46</v>
      </c>
    </row>
    <row r="997" spans="1:4" x14ac:dyDescent="0.25">
      <c r="A997" s="11">
        <v>3464</v>
      </c>
      <c r="B997" s="10" t="s">
        <v>37</v>
      </c>
      <c r="C997" s="10" t="s">
        <v>74</v>
      </c>
      <c r="D997" s="10" t="s">
        <v>46</v>
      </c>
    </row>
    <row r="998" spans="1:4" x14ac:dyDescent="0.25">
      <c r="A998" s="11">
        <v>3464</v>
      </c>
      <c r="B998" s="10" t="s">
        <v>37</v>
      </c>
      <c r="C998" s="10" t="s">
        <v>74</v>
      </c>
      <c r="D998" s="10" t="s">
        <v>46</v>
      </c>
    </row>
    <row r="999" spans="1:4" x14ac:dyDescent="0.25">
      <c r="A999" s="11">
        <v>3464</v>
      </c>
      <c r="B999" s="10" t="s">
        <v>37</v>
      </c>
      <c r="C999" s="10" t="s">
        <v>74</v>
      </c>
      <c r="D999" s="10" t="s">
        <v>46</v>
      </c>
    </row>
    <row r="1000" spans="1:4" x14ac:dyDescent="0.25">
      <c r="A1000" s="11">
        <v>3464</v>
      </c>
      <c r="B1000" s="10" t="s">
        <v>37</v>
      </c>
      <c r="C1000" s="10" t="s">
        <v>74</v>
      </c>
      <c r="D1000" s="10" t="s">
        <v>46</v>
      </c>
    </row>
    <row r="1001" spans="1:4" x14ac:dyDescent="0.25">
      <c r="A1001" s="11">
        <v>3464</v>
      </c>
      <c r="B1001" s="10" t="s">
        <v>37</v>
      </c>
      <c r="C1001" s="10" t="s">
        <v>74</v>
      </c>
      <c r="D1001" s="10" t="s">
        <v>46</v>
      </c>
    </row>
    <row r="1002" spans="1:4" x14ac:dyDescent="0.25">
      <c r="A1002" s="11">
        <v>3464</v>
      </c>
      <c r="B1002" s="10" t="s">
        <v>37</v>
      </c>
      <c r="C1002" s="10" t="s">
        <v>74</v>
      </c>
      <c r="D1002" s="10" t="s">
        <v>46</v>
      </c>
    </row>
    <row r="1003" spans="1:4" x14ac:dyDescent="0.25">
      <c r="A1003" s="11">
        <v>3464</v>
      </c>
      <c r="B1003" s="10" t="s">
        <v>37</v>
      </c>
      <c r="C1003" s="10" t="s">
        <v>74</v>
      </c>
      <c r="D1003" s="10" t="s">
        <v>46</v>
      </c>
    </row>
    <row r="1004" spans="1:4" x14ac:dyDescent="0.25">
      <c r="A1004" s="11">
        <v>3464</v>
      </c>
      <c r="B1004" s="10" t="s">
        <v>37</v>
      </c>
      <c r="C1004" s="10" t="s">
        <v>74</v>
      </c>
      <c r="D1004" s="10" t="s">
        <v>46</v>
      </c>
    </row>
    <row r="1005" spans="1:4" x14ac:dyDescent="0.25">
      <c r="A1005" s="11">
        <v>3464</v>
      </c>
      <c r="B1005" s="10" t="s">
        <v>37</v>
      </c>
      <c r="C1005" s="10" t="s">
        <v>74</v>
      </c>
      <c r="D1005" s="10" t="s">
        <v>46</v>
      </c>
    </row>
    <row r="1006" spans="1:4" x14ac:dyDescent="0.25">
      <c r="A1006" s="11">
        <v>3464</v>
      </c>
      <c r="B1006" s="10" t="s">
        <v>37</v>
      </c>
      <c r="C1006" s="10" t="s">
        <v>74</v>
      </c>
      <c r="D1006" s="10" t="s">
        <v>46</v>
      </c>
    </row>
    <row r="1007" spans="1:4" x14ac:dyDescent="0.25">
      <c r="A1007" s="11">
        <v>3464</v>
      </c>
      <c r="B1007" s="10" t="s">
        <v>37</v>
      </c>
      <c r="C1007" s="10" t="s">
        <v>74</v>
      </c>
      <c r="D1007" s="10" t="s">
        <v>46</v>
      </c>
    </row>
    <row r="1008" spans="1:4" x14ac:dyDescent="0.25">
      <c r="A1008" s="11">
        <v>3464</v>
      </c>
      <c r="B1008" s="10" t="s">
        <v>37</v>
      </c>
      <c r="C1008" s="10" t="s">
        <v>74</v>
      </c>
      <c r="D1008" s="10" t="s">
        <v>46</v>
      </c>
    </row>
    <row r="1009" spans="1:4" x14ac:dyDescent="0.25">
      <c r="A1009" s="11">
        <v>3464</v>
      </c>
      <c r="B1009" s="10" t="s">
        <v>37</v>
      </c>
      <c r="C1009" s="10" t="s">
        <v>74</v>
      </c>
      <c r="D1009" s="10" t="s">
        <v>46</v>
      </c>
    </row>
    <row r="1010" spans="1:4" x14ac:dyDescent="0.25">
      <c r="A1010" s="11">
        <v>3464</v>
      </c>
      <c r="B1010" s="10" t="s">
        <v>37</v>
      </c>
      <c r="C1010" s="10" t="s">
        <v>74</v>
      </c>
      <c r="D1010" s="10" t="s">
        <v>46</v>
      </c>
    </row>
    <row r="1011" spans="1:4" x14ac:dyDescent="0.25">
      <c r="A1011" s="11">
        <v>3464</v>
      </c>
      <c r="B1011" s="10" t="s">
        <v>37</v>
      </c>
      <c r="C1011" s="10" t="s">
        <v>74</v>
      </c>
      <c r="D1011" s="10" t="s">
        <v>46</v>
      </c>
    </row>
    <row r="1012" spans="1:4" x14ac:dyDescent="0.25">
      <c r="A1012" s="11">
        <v>3464</v>
      </c>
      <c r="B1012" s="10" t="s">
        <v>37</v>
      </c>
      <c r="C1012" s="10" t="s">
        <v>74</v>
      </c>
      <c r="D1012" s="10" t="s">
        <v>46</v>
      </c>
    </row>
    <row r="1013" spans="1:4" x14ac:dyDescent="0.25">
      <c r="A1013" s="11">
        <v>3464</v>
      </c>
      <c r="B1013" s="10" t="s">
        <v>37</v>
      </c>
      <c r="C1013" s="10" t="s">
        <v>74</v>
      </c>
      <c r="D1013" s="10" t="s">
        <v>46</v>
      </c>
    </row>
    <row r="1014" spans="1:4" x14ac:dyDescent="0.25">
      <c r="A1014" s="11">
        <v>3464</v>
      </c>
      <c r="B1014" s="10" t="s">
        <v>37</v>
      </c>
      <c r="C1014" s="10" t="s">
        <v>74</v>
      </c>
      <c r="D1014" s="10" t="s">
        <v>46</v>
      </c>
    </row>
    <row r="1015" spans="1:4" x14ac:dyDescent="0.25">
      <c r="A1015" s="11">
        <v>3464</v>
      </c>
      <c r="B1015" s="10" t="s">
        <v>37</v>
      </c>
      <c r="C1015" s="10" t="s">
        <v>74</v>
      </c>
      <c r="D1015" s="10" t="s">
        <v>46</v>
      </c>
    </row>
    <row r="1016" spans="1:4" x14ac:dyDescent="0.25">
      <c r="A1016" s="11">
        <v>3464</v>
      </c>
      <c r="B1016" s="10" t="s">
        <v>37</v>
      </c>
      <c r="C1016" s="10" t="s">
        <v>74</v>
      </c>
      <c r="D1016" s="10" t="s">
        <v>46</v>
      </c>
    </row>
    <row r="1017" spans="1:4" x14ac:dyDescent="0.25">
      <c r="A1017" s="11">
        <v>3464</v>
      </c>
      <c r="B1017" s="10" t="s">
        <v>37</v>
      </c>
      <c r="C1017" s="10" t="s">
        <v>74</v>
      </c>
      <c r="D1017" s="10" t="s">
        <v>46</v>
      </c>
    </row>
    <row r="1018" spans="1:4" x14ac:dyDescent="0.25">
      <c r="A1018" s="11">
        <v>3464</v>
      </c>
      <c r="B1018" s="10" t="s">
        <v>37</v>
      </c>
      <c r="C1018" s="10" t="s">
        <v>74</v>
      </c>
      <c r="D1018" s="10" t="s">
        <v>46</v>
      </c>
    </row>
    <row r="1019" spans="1:4" x14ac:dyDescent="0.25">
      <c r="A1019" s="11">
        <v>3465</v>
      </c>
      <c r="B1019" s="10" t="s">
        <v>37</v>
      </c>
      <c r="C1019" s="10" t="s">
        <v>75</v>
      </c>
      <c r="D1019" s="10" t="s">
        <v>46</v>
      </c>
    </row>
    <row r="1020" spans="1:4" x14ac:dyDescent="0.25">
      <c r="A1020" s="11">
        <v>3465</v>
      </c>
      <c r="B1020" s="10" t="s">
        <v>37</v>
      </c>
      <c r="C1020" s="10" t="s">
        <v>75</v>
      </c>
      <c r="D1020" s="10" t="s">
        <v>46</v>
      </c>
    </row>
    <row r="1021" spans="1:4" x14ac:dyDescent="0.25">
      <c r="A1021" s="11">
        <v>3465</v>
      </c>
      <c r="B1021" s="10" t="s">
        <v>37</v>
      </c>
      <c r="C1021" s="10" t="s">
        <v>75</v>
      </c>
      <c r="D1021" s="10" t="s">
        <v>46</v>
      </c>
    </row>
    <row r="1022" spans="1:4" x14ac:dyDescent="0.25">
      <c r="A1022" s="11">
        <v>3465</v>
      </c>
      <c r="B1022" s="10" t="s">
        <v>37</v>
      </c>
      <c r="C1022" s="10" t="s">
        <v>75</v>
      </c>
      <c r="D1022" s="10" t="s">
        <v>46</v>
      </c>
    </row>
    <row r="1023" spans="1:4" x14ac:dyDescent="0.25">
      <c r="A1023" s="11">
        <v>3465</v>
      </c>
      <c r="B1023" s="10" t="s">
        <v>37</v>
      </c>
      <c r="C1023" s="10" t="s">
        <v>75</v>
      </c>
      <c r="D1023" s="10" t="s">
        <v>46</v>
      </c>
    </row>
    <row r="1024" spans="1:4" x14ac:dyDescent="0.25">
      <c r="A1024" s="11">
        <v>3465</v>
      </c>
      <c r="B1024" s="10" t="s">
        <v>37</v>
      </c>
      <c r="C1024" s="10" t="s">
        <v>75</v>
      </c>
      <c r="D1024" s="10" t="s">
        <v>46</v>
      </c>
    </row>
    <row r="1025" spans="1:4" x14ac:dyDescent="0.25">
      <c r="A1025" s="11">
        <v>3465</v>
      </c>
      <c r="B1025" s="10" t="s">
        <v>37</v>
      </c>
      <c r="C1025" s="10" t="s">
        <v>75</v>
      </c>
      <c r="D1025" s="10" t="s">
        <v>46</v>
      </c>
    </row>
    <row r="1026" spans="1:4" x14ac:dyDescent="0.25">
      <c r="A1026" s="11">
        <v>3465</v>
      </c>
      <c r="B1026" s="10" t="s">
        <v>37</v>
      </c>
      <c r="C1026" s="10" t="s">
        <v>75</v>
      </c>
      <c r="D1026" s="10" t="s">
        <v>46</v>
      </c>
    </row>
    <row r="1027" spans="1:4" x14ac:dyDescent="0.25">
      <c r="A1027" s="11">
        <v>3465</v>
      </c>
      <c r="B1027" s="10" t="s">
        <v>37</v>
      </c>
      <c r="C1027" s="10" t="s">
        <v>75</v>
      </c>
      <c r="D1027" s="10" t="s">
        <v>46</v>
      </c>
    </row>
    <row r="1028" spans="1:4" x14ac:dyDescent="0.25">
      <c r="A1028" s="11">
        <v>3465</v>
      </c>
      <c r="B1028" s="10" t="s">
        <v>37</v>
      </c>
      <c r="C1028" s="10" t="s">
        <v>75</v>
      </c>
      <c r="D1028" s="10" t="s">
        <v>46</v>
      </c>
    </row>
    <row r="1029" spans="1:4" x14ac:dyDescent="0.25">
      <c r="A1029" s="11">
        <v>3465</v>
      </c>
      <c r="B1029" s="10" t="s">
        <v>37</v>
      </c>
      <c r="C1029" s="10" t="s">
        <v>75</v>
      </c>
      <c r="D1029" s="10" t="s">
        <v>46</v>
      </c>
    </row>
    <row r="1030" spans="1:4" x14ac:dyDescent="0.25">
      <c r="A1030" s="11">
        <v>3465</v>
      </c>
      <c r="B1030" s="10" t="s">
        <v>37</v>
      </c>
      <c r="C1030" s="10" t="s">
        <v>75</v>
      </c>
      <c r="D1030" s="10" t="s">
        <v>46</v>
      </c>
    </row>
    <row r="1031" spans="1:4" x14ac:dyDescent="0.25">
      <c r="A1031" s="11">
        <v>3465</v>
      </c>
      <c r="B1031" s="10" t="s">
        <v>37</v>
      </c>
      <c r="C1031" s="10" t="s">
        <v>75</v>
      </c>
      <c r="D1031" s="10" t="s">
        <v>46</v>
      </c>
    </row>
    <row r="1032" spans="1:4" x14ac:dyDescent="0.25">
      <c r="A1032" s="11">
        <v>3465</v>
      </c>
      <c r="B1032" s="10" t="s">
        <v>37</v>
      </c>
      <c r="C1032" s="10" t="s">
        <v>75</v>
      </c>
      <c r="D1032" s="10" t="s">
        <v>46</v>
      </c>
    </row>
    <row r="1033" spans="1:4" x14ac:dyDescent="0.25">
      <c r="A1033" s="11">
        <v>3465</v>
      </c>
      <c r="B1033" s="10" t="s">
        <v>37</v>
      </c>
      <c r="C1033" s="10" t="s">
        <v>75</v>
      </c>
      <c r="D1033" s="10" t="s">
        <v>46</v>
      </c>
    </row>
    <row r="1034" spans="1:4" x14ac:dyDescent="0.25">
      <c r="A1034" s="11">
        <v>3465</v>
      </c>
      <c r="B1034" s="10" t="s">
        <v>37</v>
      </c>
      <c r="C1034" s="10" t="s">
        <v>75</v>
      </c>
      <c r="D1034" s="10" t="s">
        <v>46</v>
      </c>
    </row>
    <row r="1035" spans="1:4" x14ac:dyDescent="0.25">
      <c r="A1035" s="11">
        <v>3465</v>
      </c>
      <c r="B1035" s="10" t="s">
        <v>37</v>
      </c>
      <c r="C1035" s="10" t="s">
        <v>75</v>
      </c>
      <c r="D1035" s="10" t="s">
        <v>46</v>
      </c>
    </row>
    <row r="1036" spans="1:4" x14ac:dyDescent="0.25">
      <c r="A1036" s="11">
        <v>3465</v>
      </c>
      <c r="B1036" s="10" t="s">
        <v>37</v>
      </c>
      <c r="C1036" s="10" t="s">
        <v>75</v>
      </c>
      <c r="D1036" s="10" t="s">
        <v>46</v>
      </c>
    </row>
    <row r="1037" spans="1:4" x14ac:dyDescent="0.25">
      <c r="A1037" s="11">
        <v>3465</v>
      </c>
      <c r="B1037" s="10" t="s">
        <v>37</v>
      </c>
      <c r="C1037" s="10" t="s">
        <v>75</v>
      </c>
      <c r="D1037" s="10" t="s">
        <v>46</v>
      </c>
    </row>
    <row r="1038" spans="1:4" x14ac:dyDescent="0.25">
      <c r="A1038" s="11">
        <v>3465</v>
      </c>
      <c r="B1038" s="10" t="s">
        <v>37</v>
      </c>
      <c r="C1038" s="10" t="s">
        <v>75</v>
      </c>
      <c r="D1038" s="10" t="s">
        <v>46</v>
      </c>
    </row>
    <row r="1039" spans="1:4" x14ac:dyDescent="0.25">
      <c r="A1039" s="11">
        <v>3465</v>
      </c>
      <c r="B1039" s="10" t="s">
        <v>37</v>
      </c>
      <c r="C1039" s="10" t="s">
        <v>75</v>
      </c>
      <c r="D1039" s="10" t="s">
        <v>46</v>
      </c>
    </row>
    <row r="1040" spans="1:4" x14ac:dyDescent="0.25">
      <c r="A1040" s="11">
        <v>3465</v>
      </c>
      <c r="B1040" s="10" t="s">
        <v>37</v>
      </c>
      <c r="C1040" s="10" t="s">
        <v>75</v>
      </c>
      <c r="D1040" s="10" t="s">
        <v>46</v>
      </c>
    </row>
    <row r="1041" spans="1:4" x14ac:dyDescent="0.25">
      <c r="A1041" s="11">
        <v>3465</v>
      </c>
      <c r="B1041" s="10" t="s">
        <v>37</v>
      </c>
      <c r="C1041" s="10" t="s">
        <v>75</v>
      </c>
      <c r="D1041" s="10" t="s">
        <v>46</v>
      </c>
    </row>
    <row r="1042" spans="1:4" x14ac:dyDescent="0.25">
      <c r="A1042" s="11">
        <v>3465</v>
      </c>
      <c r="B1042" s="10" t="s">
        <v>37</v>
      </c>
      <c r="C1042" s="10" t="s">
        <v>75</v>
      </c>
      <c r="D1042" s="10" t="s">
        <v>46</v>
      </c>
    </row>
    <row r="1043" spans="1:4" x14ac:dyDescent="0.25">
      <c r="A1043" s="11">
        <v>3465</v>
      </c>
      <c r="B1043" s="10" t="s">
        <v>37</v>
      </c>
      <c r="C1043" s="10" t="s">
        <v>75</v>
      </c>
      <c r="D1043" s="10" t="s">
        <v>46</v>
      </c>
    </row>
    <row r="1044" spans="1:4" x14ac:dyDescent="0.25">
      <c r="A1044" s="11">
        <v>3465</v>
      </c>
      <c r="B1044" s="10" t="s">
        <v>37</v>
      </c>
      <c r="C1044" s="10" t="s">
        <v>75</v>
      </c>
      <c r="D1044" s="10" t="s">
        <v>46</v>
      </c>
    </row>
    <row r="1045" spans="1:4" x14ac:dyDescent="0.25">
      <c r="A1045" s="11">
        <v>3466</v>
      </c>
      <c r="B1045" s="10" t="s">
        <v>37</v>
      </c>
      <c r="C1045" s="10" t="s">
        <v>76</v>
      </c>
      <c r="D1045" s="10" t="s">
        <v>46</v>
      </c>
    </row>
    <row r="1046" spans="1:4" x14ac:dyDescent="0.25">
      <c r="A1046" s="11">
        <v>3466</v>
      </c>
      <c r="B1046" s="10" t="s">
        <v>37</v>
      </c>
      <c r="C1046" s="10" t="s">
        <v>76</v>
      </c>
      <c r="D1046" s="10" t="s">
        <v>46</v>
      </c>
    </row>
    <row r="1047" spans="1:4" x14ac:dyDescent="0.25">
      <c r="A1047" s="11">
        <v>3466</v>
      </c>
      <c r="B1047" s="10" t="s">
        <v>37</v>
      </c>
      <c r="C1047" s="10" t="s">
        <v>76</v>
      </c>
      <c r="D1047" s="10" t="s">
        <v>46</v>
      </c>
    </row>
    <row r="1048" spans="1:4" x14ac:dyDescent="0.25">
      <c r="A1048" s="11">
        <v>3466</v>
      </c>
      <c r="B1048" s="10" t="s">
        <v>37</v>
      </c>
      <c r="C1048" s="10" t="s">
        <v>76</v>
      </c>
      <c r="D1048" s="10" t="s">
        <v>46</v>
      </c>
    </row>
    <row r="1049" spans="1:4" x14ac:dyDescent="0.25">
      <c r="A1049" s="11">
        <v>3466</v>
      </c>
      <c r="B1049" s="10" t="s">
        <v>37</v>
      </c>
      <c r="C1049" s="10" t="s">
        <v>76</v>
      </c>
      <c r="D1049" s="10" t="s">
        <v>46</v>
      </c>
    </row>
    <row r="1050" spans="1:4" x14ac:dyDescent="0.25">
      <c r="A1050" s="11">
        <v>3466</v>
      </c>
      <c r="B1050" s="10" t="s">
        <v>37</v>
      </c>
      <c r="C1050" s="10" t="s">
        <v>76</v>
      </c>
      <c r="D1050" s="10" t="s">
        <v>46</v>
      </c>
    </row>
    <row r="1051" spans="1:4" x14ac:dyDescent="0.25">
      <c r="A1051" s="11">
        <v>3466</v>
      </c>
      <c r="B1051" s="10" t="s">
        <v>37</v>
      </c>
      <c r="C1051" s="10" t="s">
        <v>76</v>
      </c>
      <c r="D1051" s="10" t="s">
        <v>46</v>
      </c>
    </row>
    <row r="1052" spans="1:4" x14ac:dyDescent="0.25">
      <c r="A1052" s="11">
        <v>3466</v>
      </c>
      <c r="B1052" s="10" t="s">
        <v>37</v>
      </c>
      <c r="C1052" s="10" t="s">
        <v>76</v>
      </c>
      <c r="D1052" s="10" t="s">
        <v>46</v>
      </c>
    </row>
    <row r="1053" spans="1:4" x14ac:dyDescent="0.25">
      <c r="A1053" s="11">
        <v>3466</v>
      </c>
      <c r="B1053" s="10" t="s">
        <v>37</v>
      </c>
      <c r="C1053" s="10" t="s">
        <v>76</v>
      </c>
      <c r="D1053" s="10" t="s">
        <v>46</v>
      </c>
    </row>
    <row r="1054" spans="1:4" x14ac:dyDescent="0.25">
      <c r="A1054" s="11">
        <v>3466</v>
      </c>
      <c r="B1054" s="10" t="s">
        <v>37</v>
      </c>
      <c r="C1054" s="10" t="s">
        <v>76</v>
      </c>
      <c r="D1054" s="10" t="s">
        <v>46</v>
      </c>
    </row>
    <row r="1055" spans="1:4" x14ac:dyDescent="0.25">
      <c r="A1055" s="11">
        <v>3466</v>
      </c>
      <c r="B1055" s="10" t="s">
        <v>37</v>
      </c>
      <c r="C1055" s="10" t="s">
        <v>76</v>
      </c>
      <c r="D1055" s="10" t="s">
        <v>46</v>
      </c>
    </row>
    <row r="1056" spans="1:4" x14ac:dyDescent="0.25">
      <c r="A1056" s="11">
        <v>3466</v>
      </c>
      <c r="B1056" s="10" t="s">
        <v>37</v>
      </c>
      <c r="C1056" s="10" t="s">
        <v>76</v>
      </c>
      <c r="D1056" s="10" t="s">
        <v>46</v>
      </c>
    </row>
    <row r="1057" spans="1:4" x14ac:dyDescent="0.25">
      <c r="A1057" s="11">
        <v>3466</v>
      </c>
      <c r="B1057" s="10" t="s">
        <v>37</v>
      </c>
      <c r="C1057" s="10" t="s">
        <v>76</v>
      </c>
      <c r="D1057" s="10" t="s">
        <v>46</v>
      </c>
    </row>
    <row r="1058" spans="1:4" x14ac:dyDescent="0.25">
      <c r="A1058" s="11">
        <v>3466</v>
      </c>
      <c r="B1058" s="10" t="s">
        <v>37</v>
      </c>
      <c r="C1058" s="10" t="s">
        <v>76</v>
      </c>
      <c r="D1058" s="10" t="s">
        <v>46</v>
      </c>
    </row>
    <row r="1059" spans="1:4" x14ac:dyDescent="0.25">
      <c r="A1059" s="11">
        <v>3466</v>
      </c>
      <c r="B1059" s="10" t="s">
        <v>37</v>
      </c>
      <c r="C1059" s="10" t="s">
        <v>76</v>
      </c>
      <c r="D1059" s="10" t="s">
        <v>46</v>
      </c>
    </row>
    <row r="1060" spans="1:4" x14ac:dyDescent="0.25">
      <c r="A1060" s="11">
        <v>3466</v>
      </c>
      <c r="B1060" s="10" t="s">
        <v>37</v>
      </c>
      <c r="C1060" s="10" t="s">
        <v>76</v>
      </c>
      <c r="D1060" s="10" t="s">
        <v>46</v>
      </c>
    </row>
    <row r="1061" spans="1:4" x14ac:dyDescent="0.25">
      <c r="A1061" s="11">
        <v>3466</v>
      </c>
      <c r="B1061" s="10" t="s">
        <v>37</v>
      </c>
      <c r="C1061" s="10" t="s">
        <v>76</v>
      </c>
      <c r="D1061" s="10" t="s">
        <v>46</v>
      </c>
    </row>
    <row r="1062" spans="1:4" x14ac:dyDescent="0.25">
      <c r="A1062" s="11">
        <v>3466</v>
      </c>
      <c r="B1062" s="10" t="s">
        <v>37</v>
      </c>
      <c r="C1062" s="10" t="s">
        <v>76</v>
      </c>
      <c r="D1062" s="10" t="s">
        <v>46</v>
      </c>
    </row>
    <row r="1063" spans="1:4" x14ac:dyDescent="0.25">
      <c r="A1063" s="11">
        <v>3466</v>
      </c>
      <c r="B1063" s="10" t="s">
        <v>37</v>
      </c>
      <c r="C1063" s="10" t="s">
        <v>76</v>
      </c>
      <c r="D1063" s="10" t="s">
        <v>46</v>
      </c>
    </row>
    <row r="1064" spans="1:4" x14ac:dyDescent="0.25">
      <c r="A1064" s="11">
        <v>3466</v>
      </c>
      <c r="B1064" s="10" t="s">
        <v>37</v>
      </c>
      <c r="C1064" s="10" t="s">
        <v>76</v>
      </c>
      <c r="D1064" s="10" t="s">
        <v>46</v>
      </c>
    </row>
    <row r="1065" spans="1:4" x14ac:dyDescent="0.25">
      <c r="A1065" s="11">
        <v>3466</v>
      </c>
      <c r="B1065" s="10" t="s">
        <v>37</v>
      </c>
      <c r="C1065" s="10" t="s">
        <v>76</v>
      </c>
      <c r="D1065" s="10" t="s">
        <v>46</v>
      </c>
    </row>
    <row r="1066" spans="1:4" x14ac:dyDescent="0.25">
      <c r="A1066" s="11">
        <v>3466</v>
      </c>
      <c r="B1066" s="10" t="s">
        <v>37</v>
      </c>
      <c r="C1066" s="10" t="s">
        <v>76</v>
      </c>
      <c r="D1066" s="10" t="s">
        <v>46</v>
      </c>
    </row>
    <row r="1067" spans="1:4" x14ac:dyDescent="0.25">
      <c r="A1067" s="11">
        <v>3466</v>
      </c>
      <c r="B1067" s="10" t="s">
        <v>37</v>
      </c>
      <c r="C1067" s="10" t="s">
        <v>76</v>
      </c>
      <c r="D1067" s="10" t="s">
        <v>46</v>
      </c>
    </row>
    <row r="1068" spans="1:4" x14ac:dyDescent="0.25">
      <c r="A1068" s="11">
        <v>3466</v>
      </c>
      <c r="B1068" s="10" t="s">
        <v>37</v>
      </c>
      <c r="C1068" s="10" t="s">
        <v>76</v>
      </c>
      <c r="D1068" s="10" t="s">
        <v>46</v>
      </c>
    </row>
    <row r="1069" spans="1:4" x14ac:dyDescent="0.25">
      <c r="A1069" s="11">
        <v>3466</v>
      </c>
      <c r="B1069" s="10" t="s">
        <v>37</v>
      </c>
      <c r="C1069" s="10" t="s">
        <v>76</v>
      </c>
      <c r="D1069" s="10" t="s">
        <v>46</v>
      </c>
    </row>
    <row r="1070" spans="1:4" x14ac:dyDescent="0.25">
      <c r="A1070" s="11">
        <v>3466</v>
      </c>
      <c r="B1070" s="10" t="s">
        <v>37</v>
      </c>
      <c r="C1070" s="10" t="s">
        <v>76</v>
      </c>
      <c r="D1070" s="10" t="s">
        <v>46</v>
      </c>
    </row>
    <row r="1071" spans="1:4" x14ac:dyDescent="0.25">
      <c r="A1071" s="11">
        <v>3467</v>
      </c>
      <c r="B1071" s="10" t="s">
        <v>37</v>
      </c>
      <c r="C1071" s="10" t="s">
        <v>77</v>
      </c>
      <c r="D1071" s="10" t="s">
        <v>46</v>
      </c>
    </row>
    <row r="1072" spans="1:4" x14ac:dyDescent="0.25">
      <c r="A1072" s="11">
        <v>3467</v>
      </c>
      <c r="B1072" s="10" t="s">
        <v>37</v>
      </c>
      <c r="C1072" s="10" t="s">
        <v>77</v>
      </c>
      <c r="D1072" s="10" t="s">
        <v>46</v>
      </c>
    </row>
    <row r="1073" spans="1:4" x14ac:dyDescent="0.25">
      <c r="A1073" s="11">
        <v>3467</v>
      </c>
      <c r="B1073" s="10" t="s">
        <v>37</v>
      </c>
      <c r="C1073" s="10" t="s">
        <v>77</v>
      </c>
      <c r="D1073" s="10" t="s">
        <v>46</v>
      </c>
    </row>
    <row r="1074" spans="1:4" x14ac:dyDescent="0.25">
      <c r="A1074" s="11">
        <v>3467</v>
      </c>
      <c r="B1074" s="10" t="s">
        <v>37</v>
      </c>
      <c r="C1074" s="10" t="s">
        <v>77</v>
      </c>
      <c r="D1074" s="10" t="s">
        <v>46</v>
      </c>
    </row>
    <row r="1075" spans="1:4" x14ac:dyDescent="0.25">
      <c r="A1075" s="11">
        <v>3467</v>
      </c>
      <c r="B1075" s="10" t="s">
        <v>37</v>
      </c>
      <c r="C1075" s="10" t="s">
        <v>77</v>
      </c>
      <c r="D1075" s="10" t="s">
        <v>46</v>
      </c>
    </row>
    <row r="1076" spans="1:4" x14ac:dyDescent="0.25">
      <c r="A1076" s="11">
        <v>3467</v>
      </c>
      <c r="B1076" s="10" t="s">
        <v>37</v>
      </c>
      <c r="C1076" s="10" t="s">
        <v>77</v>
      </c>
      <c r="D1076" s="10" t="s">
        <v>46</v>
      </c>
    </row>
    <row r="1077" spans="1:4" x14ac:dyDescent="0.25">
      <c r="A1077" s="11">
        <v>3467</v>
      </c>
      <c r="B1077" s="10" t="s">
        <v>37</v>
      </c>
      <c r="C1077" s="10" t="s">
        <v>77</v>
      </c>
      <c r="D1077" s="10" t="s">
        <v>46</v>
      </c>
    </row>
    <row r="1078" spans="1:4" x14ac:dyDescent="0.25">
      <c r="A1078" s="11">
        <v>3467</v>
      </c>
      <c r="B1078" s="10" t="s">
        <v>37</v>
      </c>
      <c r="C1078" s="10" t="s">
        <v>77</v>
      </c>
      <c r="D1078" s="10" t="s">
        <v>46</v>
      </c>
    </row>
    <row r="1079" spans="1:4" x14ac:dyDescent="0.25">
      <c r="A1079" s="11">
        <v>3467</v>
      </c>
      <c r="B1079" s="10" t="s">
        <v>37</v>
      </c>
      <c r="C1079" s="10" t="s">
        <v>77</v>
      </c>
      <c r="D1079" s="10" t="s">
        <v>46</v>
      </c>
    </row>
    <row r="1080" spans="1:4" x14ac:dyDescent="0.25">
      <c r="A1080" s="11">
        <v>3467</v>
      </c>
      <c r="B1080" s="10" t="s">
        <v>37</v>
      </c>
      <c r="C1080" s="10" t="s">
        <v>77</v>
      </c>
      <c r="D1080" s="10" t="s">
        <v>46</v>
      </c>
    </row>
    <row r="1081" spans="1:4" x14ac:dyDescent="0.25">
      <c r="A1081" s="11">
        <v>3467</v>
      </c>
      <c r="B1081" s="10" t="s">
        <v>37</v>
      </c>
      <c r="C1081" s="10" t="s">
        <v>77</v>
      </c>
      <c r="D1081" s="10" t="s">
        <v>46</v>
      </c>
    </row>
    <row r="1082" spans="1:4" x14ac:dyDescent="0.25">
      <c r="A1082" s="11">
        <v>3467</v>
      </c>
      <c r="B1082" s="10" t="s">
        <v>37</v>
      </c>
      <c r="C1082" s="10" t="s">
        <v>77</v>
      </c>
      <c r="D1082" s="10" t="s">
        <v>46</v>
      </c>
    </row>
    <row r="1083" spans="1:4" x14ac:dyDescent="0.25">
      <c r="A1083" s="11">
        <v>3467</v>
      </c>
      <c r="B1083" s="10" t="s">
        <v>37</v>
      </c>
      <c r="C1083" s="10" t="s">
        <v>77</v>
      </c>
      <c r="D1083" s="10" t="s">
        <v>46</v>
      </c>
    </row>
    <row r="1084" spans="1:4" x14ac:dyDescent="0.25">
      <c r="A1084" s="11">
        <v>3467</v>
      </c>
      <c r="B1084" s="10" t="s">
        <v>37</v>
      </c>
      <c r="C1084" s="10" t="s">
        <v>77</v>
      </c>
      <c r="D1084" s="10" t="s">
        <v>46</v>
      </c>
    </row>
    <row r="1085" spans="1:4" x14ac:dyDescent="0.25">
      <c r="A1085" s="11">
        <v>3467</v>
      </c>
      <c r="B1085" s="10" t="s">
        <v>37</v>
      </c>
      <c r="C1085" s="10" t="s">
        <v>77</v>
      </c>
      <c r="D1085" s="10" t="s">
        <v>46</v>
      </c>
    </row>
    <row r="1086" spans="1:4" x14ac:dyDescent="0.25">
      <c r="A1086" s="11">
        <v>3467</v>
      </c>
      <c r="B1086" s="10" t="s">
        <v>37</v>
      </c>
      <c r="C1086" s="10" t="s">
        <v>77</v>
      </c>
      <c r="D1086" s="10" t="s">
        <v>46</v>
      </c>
    </row>
    <row r="1087" spans="1:4" x14ac:dyDescent="0.25">
      <c r="A1087" s="11">
        <v>3467</v>
      </c>
      <c r="B1087" s="10" t="s">
        <v>37</v>
      </c>
      <c r="C1087" s="10" t="s">
        <v>77</v>
      </c>
      <c r="D1087" s="10" t="s">
        <v>46</v>
      </c>
    </row>
    <row r="1088" spans="1:4" x14ac:dyDescent="0.25">
      <c r="A1088" s="11">
        <v>3467</v>
      </c>
      <c r="B1088" s="10" t="s">
        <v>37</v>
      </c>
      <c r="C1088" s="10" t="s">
        <v>77</v>
      </c>
      <c r="D1088" s="10" t="s">
        <v>46</v>
      </c>
    </row>
    <row r="1089" spans="1:4" x14ac:dyDescent="0.25">
      <c r="A1089" s="11">
        <v>3467</v>
      </c>
      <c r="B1089" s="10" t="s">
        <v>37</v>
      </c>
      <c r="C1089" s="10" t="s">
        <v>77</v>
      </c>
      <c r="D1089" s="10" t="s">
        <v>46</v>
      </c>
    </row>
    <row r="1090" spans="1:4" x14ac:dyDescent="0.25">
      <c r="A1090" s="11">
        <v>3467</v>
      </c>
      <c r="B1090" s="10" t="s">
        <v>37</v>
      </c>
      <c r="C1090" s="10" t="s">
        <v>77</v>
      </c>
      <c r="D1090" s="10" t="s">
        <v>46</v>
      </c>
    </row>
    <row r="1091" spans="1:4" x14ac:dyDescent="0.25">
      <c r="A1091" s="11">
        <v>3467</v>
      </c>
      <c r="B1091" s="10" t="s">
        <v>37</v>
      </c>
      <c r="C1091" s="10" t="s">
        <v>77</v>
      </c>
      <c r="D1091" s="10" t="s">
        <v>46</v>
      </c>
    </row>
    <row r="1092" spans="1:4" x14ac:dyDescent="0.25">
      <c r="A1092" s="11">
        <v>3467</v>
      </c>
      <c r="B1092" s="10" t="s">
        <v>37</v>
      </c>
      <c r="C1092" s="10" t="s">
        <v>77</v>
      </c>
      <c r="D1092" s="10" t="s">
        <v>46</v>
      </c>
    </row>
    <row r="1093" spans="1:4" x14ac:dyDescent="0.25">
      <c r="A1093" s="11">
        <v>3467</v>
      </c>
      <c r="B1093" s="10" t="s">
        <v>37</v>
      </c>
      <c r="C1093" s="10" t="s">
        <v>77</v>
      </c>
      <c r="D1093" s="10" t="s">
        <v>46</v>
      </c>
    </row>
    <row r="1094" spans="1:4" x14ac:dyDescent="0.25">
      <c r="A1094" s="11">
        <v>3467</v>
      </c>
      <c r="B1094" s="10" t="s">
        <v>37</v>
      </c>
      <c r="C1094" s="10" t="s">
        <v>77</v>
      </c>
      <c r="D1094" s="10" t="s">
        <v>46</v>
      </c>
    </row>
    <row r="1095" spans="1:4" x14ac:dyDescent="0.25">
      <c r="A1095" s="11">
        <v>3467</v>
      </c>
      <c r="B1095" s="10" t="s">
        <v>37</v>
      </c>
      <c r="C1095" s="10" t="s">
        <v>77</v>
      </c>
      <c r="D1095" s="10" t="s">
        <v>46</v>
      </c>
    </row>
    <row r="1096" spans="1:4" x14ac:dyDescent="0.25">
      <c r="A1096" s="11">
        <v>3467</v>
      </c>
      <c r="B1096" s="10" t="s">
        <v>37</v>
      </c>
      <c r="C1096" s="10" t="s">
        <v>77</v>
      </c>
      <c r="D1096" s="10" t="s">
        <v>46</v>
      </c>
    </row>
    <row r="1097" spans="1:4" x14ac:dyDescent="0.25">
      <c r="A1097" s="11">
        <v>3468</v>
      </c>
      <c r="B1097" s="10" t="s">
        <v>37</v>
      </c>
      <c r="C1097" s="10" t="s">
        <v>78</v>
      </c>
      <c r="D1097" s="10" t="s">
        <v>46</v>
      </c>
    </row>
    <row r="1098" spans="1:4" x14ac:dyDescent="0.25">
      <c r="A1098" s="11">
        <v>3468</v>
      </c>
      <c r="B1098" s="10" t="s">
        <v>37</v>
      </c>
      <c r="C1098" s="10" t="s">
        <v>78</v>
      </c>
      <c r="D1098" s="10" t="s">
        <v>46</v>
      </c>
    </row>
    <row r="1099" spans="1:4" x14ac:dyDescent="0.25">
      <c r="A1099" s="11">
        <v>3468</v>
      </c>
      <c r="B1099" s="10" t="s">
        <v>37</v>
      </c>
      <c r="C1099" s="10" t="s">
        <v>78</v>
      </c>
      <c r="D1099" s="10" t="s">
        <v>46</v>
      </c>
    </row>
    <row r="1100" spans="1:4" x14ac:dyDescent="0.25">
      <c r="A1100" s="11">
        <v>3468</v>
      </c>
      <c r="B1100" s="10" t="s">
        <v>37</v>
      </c>
      <c r="C1100" s="10" t="s">
        <v>78</v>
      </c>
      <c r="D1100" s="10" t="s">
        <v>46</v>
      </c>
    </row>
    <row r="1101" spans="1:4" x14ac:dyDescent="0.25">
      <c r="A1101" s="11">
        <v>3468</v>
      </c>
      <c r="B1101" s="10" t="s">
        <v>37</v>
      </c>
      <c r="C1101" s="10" t="s">
        <v>78</v>
      </c>
      <c r="D1101" s="10" t="s">
        <v>46</v>
      </c>
    </row>
    <row r="1102" spans="1:4" x14ac:dyDescent="0.25">
      <c r="A1102" s="11">
        <v>3468</v>
      </c>
      <c r="B1102" s="10" t="s">
        <v>37</v>
      </c>
      <c r="C1102" s="10" t="s">
        <v>78</v>
      </c>
      <c r="D1102" s="10" t="s">
        <v>46</v>
      </c>
    </row>
    <row r="1103" spans="1:4" x14ac:dyDescent="0.25">
      <c r="A1103" s="11">
        <v>3468</v>
      </c>
      <c r="B1103" s="10" t="s">
        <v>37</v>
      </c>
      <c r="C1103" s="10" t="s">
        <v>78</v>
      </c>
      <c r="D1103" s="10" t="s">
        <v>46</v>
      </c>
    </row>
    <row r="1104" spans="1:4" x14ac:dyDescent="0.25">
      <c r="A1104" s="11">
        <v>3468</v>
      </c>
      <c r="B1104" s="10" t="s">
        <v>37</v>
      </c>
      <c r="C1104" s="10" t="s">
        <v>78</v>
      </c>
      <c r="D1104" s="10" t="s">
        <v>46</v>
      </c>
    </row>
    <row r="1105" spans="1:4" x14ac:dyDescent="0.25">
      <c r="A1105" s="11">
        <v>3468</v>
      </c>
      <c r="B1105" s="10" t="s">
        <v>37</v>
      </c>
      <c r="C1105" s="10" t="s">
        <v>78</v>
      </c>
      <c r="D1105" s="10" t="s">
        <v>46</v>
      </c>
    </row>
    <row r="1106" spans="1:4" x14ac:dyDescent="0.25">
      <c r="A1106" s="11">
        <v>3468</v>
      </c>
      <c r="B1106" s="10" t="s">
        <v>37</v>
      </c>
      <c r="C1106" s="10" t="s">
        <v>78</v>
      </c>
      <c r="D1106" s="10" t="s">
        <v>46</v>
      </c>
    </row>
    <row r="1107" spans="1:4" x14ac:dyDescent="0.25">
      <c r="A1107" s="11">
        <v>3468</v>
      </c>
      <c r="B1107" s="10" t="s">
        <v>37</v>
      </c>
      <c r="C1107" s="10" t="s">
        <v>78</v>
      </c>
      <c r="D1107" s="10" t="s">
        <v>46</v>
      </c>
    </row>
    <row r="1108" spans="1:4" x14ac:dyDescent="0.25">
      <c r="A1108" s="11">
        <v>3468</v>
      </c>
      <c r="B1108" s="10" t="s">
        <v>37</v>
      </c>
      <c r="C1108" s="10" t="s">
        <v>78</v>
      </c>
      <c r="D1108" s="10" t="s">
        <v>46</v>
      </c>
    </row>
    <row r="1109" spans="1:4" x14ac:dyDescent="0.25">
      <c r="A1109" s="11">
        <v>3468</v>
      </c>
      <c r="B1109" s="10" t="s">
        <v>37</v>
      </c>
      <c r="C1109" s="10" t="s">
        <v>78</v>
      </c>
      <c r="D1109" s="10" t="s">
        <v>46</v>
      </c>
    </row>
    <row r="1110" spans="1:4" x14ac:dyDescent="0.25">
      <c r="A1110" s="11">
        <v>3468</v>
      </c>
      <c r="B1110" s="10" t="s">
        <v>37</v>
      </c>
      <c r="C1110" s="10" t="s">
        <v>78</v>
      </c>
      <c r="D1110" s="10" t="s">
        <v>46</v>
      </c>
    </row>
    <row r="1111" spans="1:4" x14ac:dyDescent="0.25">
      <c r="A1111" s="11">
        <v>3468</v>
      </c>
      <c r="B1111" s="10" t="s">
        <v>37</v>
      </c>
      <c r="C1111" s="10" t="s">
        <v>78</v>
      </c>
      <c r="D1111" s="10" t="s">
        <v>46</v>
      </c>
    </row>
    <row r="1112" spans="1:4" x14ac:dyDescent="0.25">
      <c r="A1112" s="11">
        <v>3468</v>
      </c>
      <c r="B1112" s="10" t="s">
        <v>37</v>
      </c>
      <c r="C1112" s="10" t="s">
        <v>78</v>
      </c>
      <c r="D1112" s="10" t="s">
        <v>46</v>
      </c>
    </row>
    <row r="1113" spans="1:4" x14ac:dyDescent="0.25">
      <c r="A1113" s="11">
        <v>3468</v>
      </c>
      <c r="B1113" s="10" t="s">
        <v>37</v>
      </c>
      <c r="C1113" s="10" t="s">
        <v>78</v>
      </c>
      <c r="D1113" s="10" t="s">
        <v>46</v>
      </c>
    </row>
    <row r="1114" spans="1:4" x14ac:dyDescent="0.25">
      <c r="A1114" s="11">
        <v>3468</v>
      </c>
      <c r="B1114" s="10" t="s">
        <v>37</v>
      </c>
      <c r="C1114" s="10" t="s">
        <v>78</v>
      </c>
      <c r="D1114" s="10" t="s">
        <v>46</v>
      </c>
    </row>
    <row r="1115" spans="1:4" x14ac:dyDescent="0.25">
      <c r="A1115" s="11">
        <v>3468</v>
      </c>
      <c r="B1115" s="10" t="s">
        <v>37</v>
      </c>
      <c r="C1115" s="10" t="s">
        <v>78</v>
      </c>
      <c r="D1115" s="10" t="s">
        <v>46</v>
      </c>
    </row>
    <row r="1116" spans="1:4" x14ac:dyDescent="0.25">
      <c r="A1116" s="11">
        <v>3468</v>
      </c>
      <c r="B1116" s="10" t="s">
        <v>37</v>
      </c>
      <c r="C1116" s="10" t="s">
        <v>78</v>
      </c>
      <c r="D1116" s="10" t="s">
        <v>46</v>
      </c>
    </row>
    <row r="1117" spans="1:4" x14ac:dyDescent="0.25">
      <c r="A1117" s="11">
        <v>3468</v>
      </c>
      <c r="B1117" s="10" t="s">
        <v>37</v>
      </c>
      <c r="C1117" s="10" t="s">
        <v>78</v>
      </c>
      <c r="D1117" s="10" t="s">
        <v>46</v>
      </c>
    </row>
    <row r="1118" spans="1:4" x14ac:dyDescent="0.25">
      <c r="A1118" s="11">
        <v>3468</v>
      </c>
      <c r="B1118" s="10" t="s">
        <v>37</v>
      </c>
      <c r="C1118" s="10" t="s">
        <v>78</v>
      </c>
      <c r="D1118" s="10" t="s">
        <v>46</v>
      </c>
    </row>
    <row r="1119" spans="1:4" x14ac:dyDescent="0.25">
      <c r="A1119" s="11">
        <v>3468</v>
      </c>
      <c r="B1119" s="10" t="s">
        <v>37</v>
      </c>
      <c r="C1119" s="10" t="s">
        <v>78</v>
      </c>
      <c r="D1119" s="10" t="s">
        <v>46</v>
      </c>
    </row>
    <row r="1120" spans="1:4" x14ac:dyDescent="0.25">
      <c r="A1120" s="11">
        <v>3468</v>
      </c>
      <c r="B1120" s="10" t="s">
        <v>37</v>
      </c>
      <c r="C1120" s="10" t="s">
        <v>78</v>
      </c>
      <c r="D1120" s="10" t="s">
        <v>46</v>
      </c>
    </row>
    <row r="1121" spans="1:4" x14ac:dyDescent="0.25">
      <c r="A1121" s="11">
        <v>3468</v>
      </c>
      <c r="B1121" s="10" t="s">
        <v>37</v>
      </c>
      <c r="C1121" s="10" t="s">
        <v>78</v>
      </c>
      <c r="D1121" s="10" t="s">
        <v>46</v>
      </c>
    </row>
    <row r="1122" spans="1:4" x14ac:dyDescent="0.25">
      <c r="A1122" s="11">
        <v>3468</v>
      </c>
      <c r="B1122" s="10" t="s">
        <v>37</v>
      </c>
      <c r="C1122" s="10" t="s">
        <v>78</v>
      </c>
      <c r="D1122" s="10" t="s">
        <v>46</v>
      </c>
    </row>
    <row r="1123" spans="1:4" x14ac:dyDescent="0.25">
      <c r="A1123" s="11">
        <v>3469</v>
      </c>
      <c r="B1123" s="10" t="s">
        <v>37</v>
      </c>
      <c r="C1123" s="10" t="s">
        <v>79</v>
      </c>
      <c r="D1123" s="10" t="s">
        <v>46</v>
      </c>
    </row>
    <row r="1124" spans="1:4" x14ac:dyDescent="0.25">
      <c r="A1124" s="11">
        <v>3469</v>
      </c>
      <c r="B1124" s="10" t="s">
        <v>37</v>
      </c>
      <c r="C1124" s="10" t="s">
        <v>79</v>
      </c>
      <c r="D1124" s="10" t="s">
        <v>46</v>
      </c>
    </row>
    <row r="1125" spans="1:4" x14ac:dyDescent="0.25">
      <c r="A1125" s="11">
        <v>3469</v>
      </c>
      <c r="B1125" s="10" t="s">
        <v>37</v>
      </c>
      <c r="C1125" s="10" t="s">
        <v>79</v>
      </c>
      <c r="D1125" s="10" t="s">
        <v>46</v>
      </c>
    </row>
    <row r="1126" spans="1:4" x14ac:dyDescent="0.25">
      <c r="A1126" s="11">
        <v>3469</v>
      </c>
      <c r="B1126" s="10" t="s">
        <v>37</v>
      </c>
      <c r="C1126" s="10" t="s">
        <v>79</v>
      </c>
      <c r="D1126" s="10" t="s">
        <v>46</v>
      </c>
    </row>
    <row r="1127" spans="1:4" x14ac:dyDescent="0.25">
      <c r="A1127" s="11">
        <v>3469</v>
      </c>
      <c r="B1127" s="10" t="s">
        <v>37</v>
      </c>
      <c r="C1127" s="10" t="s">
        <v>79</v>
      </c>
      <c r="D1127" s="10" t="s">
        <v>46</v>
      </c>
    </row>
    <row r="1128" spans="1:4" x14ac:dyDescent="0.25">
      <c r="A1128" s="11">
        <v>3469</v>
      </c>
      <c r="B1128" s="10" t="s">
        <v>37</v>
      </c>
      <c r="C1128" s="10" t="s">
        <v>79</v>
      </c>
      <c r="D1128" s="10" t="s">
        <v>46</v>
      </c>
    </row>
    <row r="1129" spans="1:4" x14ac:dyDescent="0.25">
      <c r="A1129" s="11">
        <v>3469</v>
      </c>
      <c r="B1129" s="10" t="s">
        <v>37</v>
      </c>
      <c r="C1129" s="10" t="s">
        <v>79</v>
      </c>
      <c r="D1129" s="10" t="s">
        <v>46</v>
      </c>
    </row>
    <row r="1130" spans="1:4" x14ac:dyDescent="0.25">
      <c r="A1130" s="11">
        <v>3469</v>
      </c>
      <c r="B1130" s="10" t="s">
        <v>37</v>
      </c>
      <c r="C1130" s="10" t="s">
        <v>79</v>
      </c>
      <c r="D1130" s="10" t="s">
        <v>46</v>
      </c>
    </row>
    <row r="1131" spans="1:4" x14ac:dyDescent="0.25">
      <c r="A1131" s="11">
        <v>3469</v>
      </c>
      <c r="B1131" s="10" t="s">
        <v>37</v>
      </c>
      <c r="C1131" s="10" t="s">
        <v>79</v>
      </c>
      <c r="D1131" s="10" t="s">
        <v>46</v>
      </c>
    </row>
    <row r="1132" spans="1:4" x14ac:dyDescent="0.25">
      <c r="A1132" s="11">
        <v>3469</v>
      </c>
      <c r="B1132" s="10" t="s">
        <v>37</v>
      </c>
      <c r="C1132" s="10" t="s">
        <v>79</v>
      </c>
      <c r="D1132" s="10" t="s">
        <v>46</v>
      </c>
    </row>
    <row r="1133" spans="1:4" x14ac:dyDescent="0.25">
      <c r="A1133" s="11">
        <v>3469</v>
      </c>
      <c r="B1133" s="10" t="s">
        <v>37</v>
      </c>
      <c r="C1133" s="10" t="s">
        <v>79</v>
      </c>
      <c r="D1133" s="10" t="s">
        <v>46</v>
      </c>
    </row>
    <row r="1134" spans="1:4" x14ac:dyDescent="0.25">
      <c r="A1134" s="11">
        <v>3469</v>
      </c>
      <c r="B1134" s="10" t="s">
        <v>37</v>
      </c>
      <c r="C1134" s="10" t="s">
        <v>79</v>
      </c>
      <c r="D1134" s="10" t="s">
        <v>46</v>
      </c>
    </row>
    <row r="1135" spans="1:4" x14ac:dyDescent="0.25">
      <c r="A1135" s="11">
        <v>3469</v>
      </c>
      <c r="B1135" s="10" t="s">
        <v>37</v>
      </c>
      <c r="C1135" s="10" t="s">
        <v>79</v>
      </c>
      <c r="D1135" s="10" t="s">
        <v>46</v>
      </c>
    </row>
    <row r="1136" spans="1:4" x14ac:dyDescent="0.25">
      <c r="A1136" s="11">
        <v>3469</v>
      </c>
      <c r="B1136" s="10" t="s">
        <v>37</v>
      </c>
      <c r="C1136" s="10" t="s">
        <v>79</v>
      </c>
      <c r="D1136" s="10" t="s">
        <v>46</v>
      </c>
    </row>
    <row r="1137" spans="1:4" x14ac:dyDescent="0.25">
      <c r="A1137" s="11">
        <v>3469</v>
      </c>
      <c r="B1137" s="10" t="s">
        <v>37</v>
      </c>
      <c r="C1137" s="10" t="s">
        <v>79</v>
      </c>
      <c r="D1137" s="10" t="s">
        <v>46</v>
      </c>
    </row>
    <row r="1138" spans="1:4" x14ac:dyDescent="0.25">
      <c r="A1138" s="11">
        <v>3469</v>
      </c>
      <c r="B1138" s="10" t="s">
        <v>37</v>
      </c>
      <c r="C1138" s="10" t="s">
        <v>79</v>
      </c>
      <c r="D1138" s="10" t="s">
        <v>46</v>
      </c>
    </row>
    <row r="1139" spans="1:4" x14ac:dyDescent="0.25">
      <c r="A1139" s="11">
        <v>3469</v>
      </c>
      <c r="B1139" s="10" t="s">
        <v>37</v>
      </c>
      <c r="C1139" s="10" t="s">
        <v>79</v>
      </c>
      <c r="D1139" s="10" t="s">
        <v>46</v>
      </c>
    </row>
    <row r="1140" spans="1:4" x14ac:dyDescent="0.25">
      <c r="A1140" s="11">
        <v>3469</v>
      </c>
      <c r="B1140" s="10" t="s">
        <v>37</v>
      </c>
      <c r="C1140" s="10" t="s">
        <v>79</v>
      </c>
      <c r="D1140" s="10" t="s">
        <v>46</v>
      </c>
    </row>
    <row r="1141" spans="1:4" x14ac:dyDescent="0.25">
      <c r="A1141" s="11">
        <v>3469</v>
      </c>
      <c r="B1141" s="10" t="s">
        <v>37</v>
      </c>
      <c r="C1141" s="10" t="s">
        <v>79</v>
      </c>
      <c r="D1141" s="10" t="s">
        <v>46</v>
      </c>
    </row>
    <row r="1142" spans="1:4" x14ac:dyDescent="0.25">
      <c r="A1142" s="11">
        <v>3469</v>
      </c>
      <c r="B1142" s="10" t="s">
        <v>37</v>
      </c>
      <c r="C1142" s="10" t="s">
        <v>79</v>
      </c>
      <c r="D1142" s="10" t="s">
        <v>46</v>
      </c>
    </row>
    <row r="1143" spans="1:4" x14ac:dyDescent="0.25">
      <c r="A1143" s="11">
        <v>3469</v>
      </c>
      <c r="B1143" s="10" t="s">
        <v>37</v>
      </c>
      <c r="C1143" s="10" t="s">
        <v>79</v>
      </c>
      <c r="D1143" s="10" t="s">
        <v>46</v>
      </c>
    </row>
    <row r="1144" spans="1:4" x14ac:dyDescent="0.25">
      <c r="A1144" s="11">
        <v>3469</v>
      </c>
      <c r="B1144" s="10" t="s">
        <v>37</v>
      </c>
      <c r="C1144" s="10" t="s">
        <v>79</v>
      </c>
      <c r="D1144" s="10" t="s">
        <v>46</v>
      </c>
    </row>
    <row r="1145" spans="1:4" x14ac:dyDescent="0.25">
      <c r="A1145" s="11">
        <v>3469</v>
      </c>
      <c r="B1145" s="10" t="s">
        <v>37</v>
      </c>
      <c r="C1145" s="10" t="s">
        <v>79</v>
      </c>
      <c r="D1145" s="10" t="s">
        <v>46</v>
      </c>
    </row>
    <row r="1146" spans="1:4" x14ac:dyDescent="0.25">
      <c r="A1146" s="11">
        <v>3469</v>
      </c>
      <c r="B1146" s="10" t="s">
        <v>37</v>
      </c>
      <c r="C1146" s="10" t="s">
        <v>79</v>
      </c>
      <c r="D1146" s="10" t="s">
        <v>46</v>
      </c>
    </row>
    <row r="1147" spans="1:4" x14ac:dyDescent="0.25">
      <c r="A1147" s="11">
        <v>3469</v>
      </c>
      <c r="B1147" s="10" t="s">
        <v>37</v>
      </c>
      <c r="C1147" s="10" t="s">
        <v>79</v>
      </c>
      <c r="D1147" s="10" t="s">
        <v>46</v>
      </c>
    </row>
    <row r="1148" spans="1:4" x14ac:dyDescent="0.25">
      <c r="A1148" s="11">
        <v>3469</v>
      </c>
      <c r="B1148" s="10" t="s">
        <v>37</v>
      </c>
      <c r="C1148" s="10" t="s">
        <v>79</v>
      </c>
      <c r="D1148" s="10" t="s">
        <v>46</v>
      </c>
    </row>
    <row r="1149" spans="1:4" x14ac:dyDescent="0.25">
      <c r="A1149" s="11">
        <v>3470</v>
      </c>
      <c r="B1149" s="10" t="s">
        <v>37</v>
      </c>
      <c r="C1149" s="10" t="s">
        <v>80</v>
      </c>
      <c r="D1149" s="10" t="s">
        <v>46</v>
      </c>
    </row>
    <row r="1150" spans="1:4" x14ac:dyDescent="0.25">
      <c r="A1150" s="11">
        <v>3470</v>
      </c>
      <c r="B1150" s="10" t="s">
        <v>37</v>
      </c>
      <c r="C1150" s="10" t="s">
        <v>80</v>
      </c>
      <c r="D1150" s="10" t="s">
        <v>46</v>
      </c>
    </row>
    <row r="1151" spans="1:4" x14ac:dyDescent="0.25">
      <c r="A1151" s="11">
        <v>3470</v>
      </c>
      <c r="B1151" s="10" t="s">
        <v>37</v>
      </c>
      <c r="C1151" s="10" t="s">
        <v>80</v>
      </c>
      <c r="D1151" s="10" t="s">
        <v>46</v>
      </c>
    </row>
    <row r="1152" spans="1:4" x14ac:dyDescent="0.25">
      <c r="A1152" s="11">
        <v>3470</v>
      </c>
      <c r="B1152" s="10" t="s">
        <v>37</v>
      </c>
      <c r="C1152" s="10" t="s">
        <v>80</v>
      </c>
      <c r="D1152" s="10" t="s">
        <v>46</v>
      </c>
    </row>
    <row r="1153" spans="1:4" x14ac:dyDescent="0.25">
      <c r="A1153" s="11">
        <v>3470</v>
      </c>
      <c r="B1153" s="10" t="s">
        <v>37</v>
      </c>
      <c r="C1153" s="10" t="s">
        <v>80</v>
      </c>
      <c r="D1153" s="10" t="s">
        <v>46</v>
      </c>
    </row>
    <row r="1154" spans="1:4" x14ac:dyDescent="0.25">
      <c r="A1154" s="11">
        <v>3470</v>
      </c>
      <c r="B1154" s="10" t="s">
        <v>37</v>
      </c>
      <c r="C1154" s="10" t="s">
        <v>80</v>
      </c>
      <c r="D1154" s="10" t="s">
        <v>46</v>
      </c>
    </row>
    <row r="1155" spans="1:4" x14ac:dyDescent="0.25">
      <c r="A1155" s="11">
        <v>3470</v>
      </c>
      <c r="B1155" s="10" t="s">
        <v>37</v>
      </c>
      <c r="C1155" s="10" t="s">
        <v>80</v>
      </c>
      <c r="D1155" s="10" t="s">
        <v>46</v>
      </c>
    </row>
    <row r="1156" spans="1:4" x14ac:dyDescent="0.25">
      <c r="A1156" s="11">
        <v>3470</v>
      </c>
      <c r="B1156" s="10" t="s">
        <v>37</v>
      </c>
      <c r="C1156" s="10" t="s">
        <v>80</v>
      </c>
      <c r="D1156" s="10" t="s">
        <v>46</v>
      </c>
    </row>
    <row r="1157" spans="1:4" x14ac:dyDescent="0.25">
      <c r="A1157" s="11">
        <v>3470</v>
      </c>
      <c r="B1157" s="10" t="s">
        <v>37</v>
      </c>
      <c r="C1157" s="10" t="s">
        <v>80</v>
      </c>
      <c r="D1157" s="10" t="s">
        <v>46</v>
      </c>
    </row>
    <row r="1158" spans="1:4" x14ac:dyDescent="0.25">
      <c r="A1158" s="11">
        <v>3470</v>
      </c>
      <c r="B1158" s="10" t="s">
        <v>37</v>
      </c>
      <c r="C1158" s="10" t="s">
        <v>80</v>
      </c>
      <c r="D1158" s="10" t="s">
        <v>46</v>
      </c>
    </row>
    <row r="1159" spans="1:4" x14ac:dyDescent="0.25">
      <c r="A1159" s="11">
        <v>3470</v>
      </c>
      <c r="B1159" s="10" t="s">
        <v>37</v>
      </c>
      <c r="C1159" s="10" t="s">
        <v>80</v>
      </c>
      <c r="D1159" s="10" t="s">
        <v>46</v>
      </c>
    </row>
    <row r="1160" spans="1:4" x14ac:dyDescent="0.25">
      <c r="A1160" s="11">
        <v>3470</v>
      </c>
      <c r="B1160" s="10" t="s">
        <v>37</v>
      </c>
      <c r="C1160" s="10" t="s">
        <v>80</v>
      </c>
      <c r="D1160" s="10" t="s">
        <v>46</v>
      </c>
    </row>
    <row r="1161" spans="1:4" x14ac:dyDescent="0.25">
      <c r="A1161" s="11">
        <v>3470</v>
      </c>
      <c r="B1161" s="10" t="s">
        <v>37</v>
      </c>
      <c r="C1161" s="10" t="s">
        <v>80</v>
      </c>
      <c r="D1161" s="10" t="s">
        <v>46</v>
      </c>
    </row>
    <row r="1162" spans="1:4" x14ac:dyDescent="0.25">
      <c r="A1162" s="11">
        <v>3470</v>
      </c>
      <c r="B1162" s="10" t="s">
        <v>37</v>
      </c>
      <c r="C1162" s="10" t="s">
        <v>80</v>
      </c>
      <c r="D1162" s="10" t="s">
        <v>46</v>
      </c>
    </row>
    <row r="1163" spans="1:4" x14ac:dyDescent="0.25">
      <c r="A1163" s="11">
        <v>3470</v>
      </c>
      <c r="B1163" s="10" t="s">
        <v>37</v>
      </c>
      <c r="C1163" s="10" t="s">
        <v>80</v>
      </c>
      <c r="D1163" s="10" t="s">
        <v>46</v>
      </c>
    </row>
    <row r="1164" spans="1:4" x14ac:dyDescent="0.25">
      <c r="A1164" s="11">
        <v>3470</v>
      </c>
      <c r="B1164" s="10" t="s">
        <v>37</v>
      </c>
      <c r="C1164" s="10" t="s">
        <v>80</v>
      </c>
      <c r="D1164" s="10" t="s">
        <v>46</v>
      </c>
    </row>
    <row r="1165" spans="1:4" x14ac:dyDescent="0.25">
      <c r="A1165" s="11">
        <v>3470</v>
      </c>
      <c r="B1165" s="10" t="s">
        <v>37</v>
      </c>
      <c r="C1165" s="10" t="s">
        <v>80</v>
      </c>
      <c r="D1165" s="10" t="s">
        <v>46</v>
      </c>
    </row>
    <row r="1166" spans="1:4" x14ac:dyDescent="0.25">
      <c r="A1166" s="11">
        <v>3470</v>
      </c>
      <c r="B1166" s="10" t="s">
        <v>37</v>
      </c>
      <c r="C1166" s="10" t="s">
        <v>80</v>
      </c>
      <c r="D1166" s="10" t="s">
        <v>46</v>
      </c>
    </row>
    <row r="1167" spans="1:4" x14ac:dyDescent="0.25">
      <c r="A1167" s="11">
        <v>3470</v>
      </c>
      <c r="B1167" s="10" t="s">
        <v>37</v>
      </c>
      <c r="C1167" s="10" t="s">
        <v>80</v>
      </c>
      <c r="D1167" s="10" t="s">
        <v>46</v>
      </c>
    </row>
    <row r="1168" spans="1:4" x14ac:dyDescent="0.25">
      <c r="A1168" s="11">
        <v>3470</v>
      </c>
      <c r="B1168" s="10" t="s">
        <v>37</v>
      </c>
      <c r="C1168" s="10" t="s">
        <v>80</v>
      </c>
      <c r="D1168" s="10" t="s">
        <v>46</v>
      </c>
    </row>
    <row r="1169" spans="1:4" x14ac:dyDescent="0.25">
      <c r="A1169" s="11">
        <v>3470</v>
      </c>
      <c r="B1169" s="10" t="s">
        <v>37</v>
      </c>
      <c r="C1169" s="10" t="s">
        <v>80</v>
      </c>
      <c r="D1169" s="10" t="s">
        <v>46</v>
      </c>
    </row>
    <row r="1170" spans="1:4" x14ac:dyDescent="0.25">
      <c r="A1170" s="11">
        <v>3470</v>
      </c>
      <c r="B1170" s="10" t="s">
        <v>37</v>
      </c>
      <c r="C1170" s="10" t="s">
        <v>80</v>
      </c>
      <c r="D1170" s="10" t="s">
        <v>46</v>
      </c>
    </row>
    <row r="1171" spans="1:4" x14ac:dyDescent="0.25">
      <c r="A1171" s="11">
        <v>3470</v>
      </c>
      <c r="B1171" s="10" t="s">
        <v>37</v>
      </c>
      <c r="C1171" s="10" t="s">
        <v>80</v>
      </c>
      <c r="D1171" s="10" t="s">
        <v>46</v>
      </c>
    </row>
    <row r="1172" spans="1:4" x14ac:dyDescent="0.25">
      <c r="A1172" s="11">
        <v>3470</v>
      </c>
      <c r="B1172" s="10" t="s">
        <v>37</v>
      </c>
      <c r="C1172" s="10" t="s">
        <v>80</v>
      </c>
      <c r="D1172" s="10" t="s">
        <v>46</v>
      </c>
    </row>
    <row r="1173" spans="1:4" x14ac:dyDescent="0.25">
      <c r="A1173" s="11">
        <v>3470</v>
      </c>
      <c r="B1173" s="10" t="s">
        <v>37</v>
      </c>
      <c r="C1173" s="10" t="s">
        <v>80</v>
      </c>
      <c r="D1173" s="10" t="s">
        <v>46</v>
      </c>
    </row>
    <row r="1174" spans="1:4" x14ac:dyDescent="0.25">
      <c r="A1174" s="11">
        <v>3470</v>
      </c>
      <c r="B1174" s="10" t="s">
        <v>37</v>
      </c>
      <c r="C1174" s="10" t="s">
        <v>80</v>
      </c>
      <c r="D1174" s="10" t="s">
        <v>46</v>
      </c>
    </row>
    <row r="1175" spans="1:4" x14ac:dyDescent="0.25">
      <c r="A1175" s="11">
        <v>3471</v>
      </c>
      <c r="B1175" s="10" t="s">
        <v>37</v>
      </c>
      <c r="C1175" s="10" t="s">
        <v>81</v>
      </c>
      <c r="D1175" s="10" t="s">
        <v>46</v>
      </c>
    </row>
    <row r="1176" spans="1:4" x14ac:dyDescent="0.25">
      <c r="A1176" s="11">
        <v>3471</v>
      </c>
      <c r="B1176" s="10" t="s">
        <v>37</v>
      </c>
      <c r="C1176" s="10" t="s">
        <v>81</v>
      </c>
      <c r="D1176" s="10" t="s">
        <v>46</v>
      </c>
    </row>
    <row r="1177" spans="1:4" x14ac:dyDescent="0.25">
      <c r="A1177" s="11">
        <v>3471</v>
      </c>
      <c r="B1177" s="10" t="s">
        <v>37</v>
      </c>
      <c r="C1177" s="10" t="s">
        <v>81</v>
      </c>
      <c r="D1177" s="10" t="s">
        <v>46</v>
      </c>
    </row>
    <row r="1178" spans="1:4" x14ac:dyDescent="0.25">
      <c r="A1178" s="11">
        <v>3471</v>
      </c>
      <c r="B1178" s="10" t="s">
        <v>37</v>
      </c>
      <c r="C1178" s="10" t="s">
        <v>81</v>
      </c>
      <c r="D1178" s="10" t="s">
        <v>46</v>
      </c>
    </row>
    <row r="1179" spans="1:4" x14ac:dyDescent="0.25">
      <c r="A1179" s="11">
        <v>3471</v>
      </c>
      <c r="B1179" s="10" t="s">
        <v>37</v>
      </c>
      <c r="C1179" s="10" t="s">
        <v>81</v>
      </c>
      <c r="D1179" s="10" t="s">
        <v>46</v>
      </c>
    </row>
    <row r="1180" spans="1:4" x14ac:dyDescent="0.25">
      <c r="A1180" s="11">
        <v>3471</v>
      </c>
      <c r="B1180" s="10" t="s">
        <v>37</v>
      </c>
      <c r="C1180" s="10" t="s">
        <v>81</v>
      </c>
      <c r="D1180" s="10" t="s">
        <v>46</v>
      </c>
    </row>
    <row r="1181" spans="1:4" x14ac:dyDescent="0.25">
      <c r="A1181" s="11">
        <v>3471</v>
      </c>
      <c r="B1181" s="10" t="s">
        <v>37</v>
      </c>
      <c r="C1181" s="10" t="s">
        <v>81</v>
      </c>
      <c r="D1181" s="10" t="s">
        <v>46</v>
      </c>
    </row>
    <row r="1182" spans="1:4" x14ac:dyDescent="0.25">
      <c r="A1182" s="11">
        <v>3471</v>
      </c>
      <c r="B1182" s="10" t="s">
        <v>37</v>
      </c>
      <c r="C1182" s="10" t="s">
        <v>81</v>
      </c>
      <c r="D1182" s="10" t="s">
        <v>46</v>
      </c>
    </row>
    <row r="1183" spans="1:4" x14ac:dyDescent="0.25">
      <c r="A1183" s="11">
        <v>3471</v>
      </c>
      <c r="B1183" s="10" t="s">
        <v>37</v>
      </c>
      <c r="C1183" s="10" t="s">
        <v>81</v>
      </c>
      <c r="D1183" s="10" t="s">
        <v>46</v>
      </c>
    </row>
    <row r="1184" spans="1:4" x14ac:dyDescent="0.25">
      <c r="A1184" s="11">
        <v>3471</v>
      </c>
      <c r="B1184" s="10" t="s">
        <v>37</v>
      </c>
      <c r="C1184" s="10" t="s">
        <v>81</v>
      </c>
      <c r="D1184" s="10" t="s">
        <v>46</v>
      </c>
    </row>
    <row r="1185" spans="1:4" x14ac:dyDescent="0.25">
      <c r="A1185" s="11">
        <v>3471</v>
      </c>
      <c r="B1185" s="10" t="s">
        <v>37</v>
      </c>
      <c r="C1185" s="10" t="s">
        <v>81</v>
      </c>
      <c r="D1185" s="10" t="s">
        <v>46</v>
      </c>
    </row>
    <row r="1186" spans="1:4" x14ac:dyDescent="0.25">
      <c r="A1186" s="11">
        <v>3471</v>
      </c>
      <c r="B1186" s="10" t="s">
        <v>37</v>
      </c>
      <c r="C1186" s="10" t="s">
        <v>81</v>
      </c>
      <c r="D1186" s="10" t="s">
        <v>46</v>
      </c>
    </row>
    <row r="1187" spans="1:4" x14ac:dyDescent="0.25">
      <c r="A1187" s="11">
        <v>3471</v>
      </c>
      <c r="B1187" s="10" t="s">
        <v>37</v>
      </c>
      <c r="C1187" s="10" t="s">
        <v>81</v>
      </c>
      <c r="D1187" s="10" t="s">
        <v>46</v>
      </c>
    </row>
    <row r="1188" spans="1:4" x14ac:dyDescent="0.25">
      <c r="A1188" s="11">
        <v>3471</v>
      </c>
      <c r="B1188" s="10" t="s">
        <v>37</v>
      </c>
      <c r="C1188" s="10" t="s">
        <v>81</v>
      </c>
      <c r="D1188" s="10" t="s">
        <v>46</v>
      </c>
    </row>
    <row r="1189" spans="1:4" x14ac:dyDescent="0.25">
      <c r="A1189" s="11">
        <v>3471</v>
      </c>
      <c r="B1189" s="10" t="s">
        <v>37</v>
      </c>
      <c r="C1189" s="10" t="s">
        <v>81</v>
      </c>
      <c r="D1189" s="10" t="s">
        <v>46</v>
      </c>
    </row>
    <row r="1190" spans="1:4" x14ac:dyDescent="0.25">
      <c r="A1190" s="11">
        <v>3471</v>
      </c>
      <c r="B1190" s="10" t="s">
        <v>37</v>
      </c>
      <c r="C1190" s="10" t="s">
        <v>81</v>
      </c>
      <c r="D1190" s="10" t="s">
        <v>46</v>
      </c>
    </row>
    <row r="1191" spans="1:4" x14ac:dyDescent="0.25">
      <c r="A1191" s="11">
        <v>3471</v>
      </c>
      <c r="B1191" s="10" t="s">
        <v>37</v>
      </c>
      <c r="C1191" s="10" t="s">
        <v>81</v>
      </c>
      <c r="D1191" s="10" t="s">
        <v>46</v>
      </c>
    </row>
    <row r="1192" spans="1:4" x14ac:dyDescent="0.25">
      <c r="A1192" s="11">
        <v>3471</v>
      </c>
      <c r="B1192" s="10" t="s">
        <v>37</v>
      </c>
      <c r="C1192" s="10" t="s">
        <v>81</v>
      </c>
      <c r="D1192" s="10" t="s">
        <v>46</v>
      </c>
    </row>
    <row r="1193" spans="1:4" x14ac:dyDescent="0.25">
      <c r="A1193" s="11">
        <v>3471</v>
      </c>
      <c r="B1193" s="10" t="s">
        <v>37</v>
      </c>
      <c r="C1193" s="10" t="s">
        <v>81</v>
      </c>
      <c r="D1193" s="10" t="s">
        <v>46</v>
      </c>
    </row>
    <row r="1194" spans="1:4" x14ac:dyDescent="0.25">
      <c r="A1194" s="11">
        <v>3471</v>
      </c>
      <c r="B1194" s="10" t="s">
        <v>37</v>
      </c>
      <c r="C1194" s="10" t="s">
        <v>81</v>
      </c>
      <c r="D1194" s="10" t="s">
        <v>46</v>
      </c>
    </row>
    <row r="1195" spans="1:4" x14ac:dyDescent="0.25">
      <c r="A1195" s="11">
        <v>3471</v>
      </c>
      <c r="B1195" s="10" t="s">
        <v>37</v>
      </c>
      <c r="C1195" s="10" t="s">
        <v>81</v>
      </c>
      <c r="D1195" s="10" t="s">
        <v>46</v>
      </c>
    </row>
    <row r="1196" spans="1:4" x14ac:dyDescent="0.25">
      <c r="A1196" s="11">
        <v>3471</v>
      </c>
      <c r="B1196" s="10" t="s">
        <v>37</v>
      </c>
      <c r="C1196" s="10" t="s">
        <v>81</v>
      </c>
      <c r="D1196" s="10" t="s">
        <v>46</v>
      </c>
    </row>
    <row r="1197" spans="1:4" x14ac:dyDescent="0.25">
      <c r="A1197" s="11">
        <v>3471</v>
      </c>
      <c r="B1197" s="10" t="s">
        <v>37</v>
      </c>
      <c r="C1197" s="10" t="s">
        <v>81</v>
      </c>
      <c r="D1197" s="10" t="s">
        <v>46</v>
      </c>
    </row>
    <row r="1198" spans="1:4" x14ac:dyDescent="0.25">
      <c r="A1198" s="11">
        <v>3471</v>
      </c>
      <c r="B1198" s="10" t="s">
        <v>37</v>
      </c>
      <c r="C1198" s="10" t="s">
        <v>81</v>
      </c>
      <c r="D1198" s="10" t="s">
        <v>46</v>
      </c>
    </row>
    <row r="1199" spans="1:4" x14ac:dyDescent="0.25">
      <c r="A1199" s="11">
        <v>3471</v>
      </c>
      <c r="B1199" s="10" t="s">
        <v>37</v>
      </c>
      <c r="C1199" s="10" t="s">
        <v>81</v>
      </c>
      <c r="D1199" s="10" t="s">
        <v>46</v>
      </c>
    </row>
    <row r="1200" spans="1:4" x14ac:dyDescent="0.25">
      <c r="A1200" s="11">
        <v>3471</v>
      </c>
      <c r="B1200" s="10" t="s">
        <v>37</v>
      </c>
      <c r="C1200" s="10" t="s">
        <v>81</v>
      </c>
      <c r="D1200" s="10" t="s">
        <v>46</v>
      </c>
    </row>
    <row r="1201" spans="1:4" x14ac:dyDescent="0.25">
      <c r="A1201" s="11">
        <v>3473</v>
      </c>
      <c r="B1201" s="10" t="s">
        <v>37</v>
      </c>
      <c r="C1201" s="10" t="s">
        <v>82</v>
      </c>
      <c r="D1201" s="10" t="s">
        <v>46</v>
      </c>
    </row>
    <row r="1202" spans="1:4" x14ac:dyDescent="0.25">
      <c r="A1202" s="11">
        <v>3473</v>
      </c>
      <c r="B1202" s="10" t="s">
        <v>37</v>
      </c>
      <c r="C1202" s="10" t="s">
        <v>82</v>
      </c>
      <c r="D1202" s="10" t="s">
        <v>46</v>
      </c>
    </row>
    <row r="1203" spans="1:4" x14ac:dyDescent="0.25">
      <c r="A1203" s="11">
        <v>3473</v>
      </c>
      <c r="B1203" s="10" t="s">
        <v>37</v>
      </c>
      <c r="C1203" s="10" t="s">
        <v>82</v>
      </c>
      <c r="D1203" s="10" t="s">
        <v>46</v>
      </c>
    </row>
    <row r="1204" spans="1:4" x14ac:dyDescent="0.25">
      <c r="A1204" s="11">
        <v>3473</v>
      </c>
      <c r="B1204" s="10" t="s">
        <v>37</v>
      </c>
      <c r="C1204" s="10" t="s">
        <v>82</v>
      </c>
      <c r="D1204" s="10" t="s">
        <v>46</v>
      </c>
    </row>
    <row r="1205" spans="1:4" x14ac:dyDescent="0.25">
      <c r="A1205" s="11">
        <v>3473</v>
      </c>
      <c r="B1205" s="10" t="s">
        <v>37</v>
      </c>
      <c r="C1205" s="10" t="s">
        <v>82</v>
      </c>
      <c r="D1205" s="10" t="s">
        <v>46</v>
      </c>
    </row>
    <row r="1206" spans="1:4" x14ac:dyDescent="0.25">
      <c r="A1206" s="11">
        <v>3473</v>
      </c>
      <c r="B1206" s="10" t="s">
        <v>37</v>
      </c>
      <c r="C1206" s="10" t="s">
        <v>82</v>
      </c>
      <c r="D1206" s="10" t="s">
        <v>46</v>
      </c>
    </row>
    <row r="1207" spans="1:4" x14ac:dyDescent="0.25">
      <c r="A1207" s="11">
        <v>3473</v>
      </c>
      <c r="B1207" s="10" t="s">
        <v>37</v>
      </c>
      <c r="C1207" s="10" t="s">
        <v>82</v>
      </c>
      <c r="D1207" s="10" t="s">
        <v>46</v>
      </c>
    </row>
    <row r="1208" spans="1:4" x14ac:dyDescent="0.25">
      <c r="A1208" s="11">
        <v>3473</v>
      </c>
      <c r="B1208" s="10" t="s">
        <v>37</v>
      </c>
      <c r="C1208" s="10" t="s">
        <v>82</v>
      </c>
      <c r="D1208" s="10" t="s">
        <v>46</v>
      </c>
    </row>
    <row r="1209" spans="1:4" x14ac:dyDescent="0.25">
      <c r="A1209" s="11">
        <v>3473</v>
      </c>
      <c r="B1209" s="10" t="s">
        <v>37</v>
      </c>
      <c r="C1209" s="10" t="s">
        <v>82</v>
      </c>
      <c r="D1209" s="10" t="s">
        <v>46</v>
      </c>
    </row>
    <row r="1210" spans="1:4" x14ac:dyDescent="0.25">
      <c r="A1210" s="11">
        <v>3473</v>
      </c>
      <c r="B1210" s="10" t="s">
        <v>37</v>
      </c>
      <c r="C1210" s="10" t="s">
        <v>82</v>
      </c>
      <c r="D1210" s="10" t="s">
        <v>46</v>
      </c>
    </row>
    <row r="1211" spans="1:4" x14ac:dyDescent="0.25">
      <c r="A1211" s="11">
        <v>3473</v>
      </c>
      <c r="B1211" s="10" t="s">
        <v>37</v>
      </c>
      <c r="C1211" s="10" t="s">
        <v>82</v>
      </c>
      <c r="D1211" s="10" t="s">
        <v>46</v>
      </c>
    </row>
    <row r="1212" spans="1:4" x14ac:dyDescent="0.25">
      <c r="A1212" s="11">
        <v>3473</v>
      </c>
      <c r="B1212" s="10" t="s">
        <v>37</v>
      </c>
      <c r="C1212" s="10" t="s">
        <v>82</v>
      </c>
      <c r="D1212" s="10" t="s">
        <v>46</v>
      </c>
    </row>
    <row r="1213" spans="1:4" x14ac:dyDescent="0.25">
      <c r="A1213" s="11">
        <v>3473</v>
      </c>
      <c r="B1213" s="10" t="s">
        <v>37</v>
      </c>
      <c r="C1213" s="10" t="s">
        <v>82</v>
      </c>
      <c r="D1213" s="10" t="s">
        <v>46</v>
      </c>
    </row>
    <row r="1214" spans="1:4" x14ac:dyDescent="0.25">
      <c r="A1214" s="11">
        <v>3473</v>
      </c>
      <c r="B1214" s="10" t="s">
        <v>37</v>
      </c>
      <c r="C1214" s="10" t="s">
        <v>82</v>
      </c>
      <c r="D1214" s="10" t="s">
        <v>46</v>
      </c>
    </row>
    <row r="1215" spans="1:4" x14ac:dyDescent="0.25">
      <c r="A1215" s="11">
        <v>3473</v>
      </c>
      <c r="B1215" s="10" t="s">
        <v>37</v>
      </c>
      <c r="C1215" s="10" t="s">
        <v>82</v>
      </c>
      <c r="D1215" s="10" t="s">
        <v>46</v>
      </c>
    </row>
    <row r="1216" spans="1:4" x14ac:dyDescent="0.25">
      <c r="A1216" s="11">
        <v>3473</v>
      </c>
      <c r="B1216" s="10" t="s">
        <v>37</v>
      </c>
      <c r="C1216" s="10" t="s">
        <v>82</v>
      </c>
      <c r="D1216" s="10" t="s">
        <v>46</v>
      </c>
    </row>
    <row r="1217" spans="1:4" x14ac:dyDescent="0.25">
      <c r="A1217" s="11">
        <v>3473</v>
      </c>
      <c r="B1217" s="10" t="s">
        <v>37</v>
      </c>
      <c r="C1217" s="10" t="s">
        <v>82</v>
      </c>
      <c r="D1217" s="10" t="s">
        <v>46</v>
      </c>
    </row>
    <row r="1218" spans="1:4" x14ac:dyDescent="0.25">
      <c r="A1218" s="11">
        <v>3473</v>
      </c>
      <c r="B1218" s="10" t="s">
        <v>37</v>
      </c>
      <c r="C1218" s="10" t="s">
        <v>82</v>
      </c>
      <c r="D1218" s="10" t="s">
        <v>46</v>
      </c>
    </row>
    <row r="1219" spans="1:4" x14ac:dyDescent="0.25">
      <c r="A1219" s="11">
        <v>3473</v>
      </c>
      <c r="B1219" s="10" t="s">
        <v>37</v>
      </c>
      <c r="C1219" s="10" t="s">
        <v>82</v>
      </c>
      <c r="D1219" s="10" t="s">
        <v>46</v>
      </c>
    </row>
    <row r="1220" spans="1:4" x14ac:dyDescent="0.25">
      <c r="A1220" s="11">
        <v>3473</v>
      </c>
      <c r="B1220" s="10" t="s">
        <v>37</v>
      </c>
      <c r="C1220" s="10" t="s">
        <v>82</v>
      </c>
      <c r="D1220" s="10" t="s">
        <v>46</v>
      </c>
    </row>
    <row r="1221" spans="1:4" x14ac:dyDescent="0.25">
      <c r="A1221" s="11">
        <v>3473</v>
      </c>
      <c r="B1221" s="10" t="s">
        <v>37</v>
      </c>
      <c r="C1221" s="10" t="s">
        <v>82</v>
      </c>
      <c r="D1221" s="10" t="s">
        <v>46</v>
      </c>
    </row>
    <row r="1222" spans="1:4" x14ac:dyDescent="0.25">
      <c r="A1222" s="11">
        <v>3473</v>
      </c>
      <c r="B1222" s="10" t="s">
        <v>37</v>
      </c>
      <c r="C1222" s="10" t="s">
        <v>82</v>
      </c>
      <c r="D1222" s="10" t="s">
        <v>46</v>
      </c>
    </row>
    <row r="1223" spans="1:4" x14ac:dyDescent="0.25">
      <c r="A1223" s="11">
        <v>3473</v>
      </c>
      <c r="B1223" s="10" t="s">
        <v>37</v>
      </c>
      <c r="C1223" s="10" t="s">
        <v>82</v>
      </c>
      <c r="D1223" s="10" t="s">
        <v>46</v>
      </c>
    </row>
    <row r="1224" spans="1:4" x14ac:dyDescent="0.25">
      <c r="A1224" s="11">
        <v>3473</v>
      </c>
      <c r="B1224" s="10" t="s">
        <v>37</v>
      </c>
      <c r="C1224" s="10" t="s">
        <v>82</v>
      </c>
      <c r="D1224" s="10" t="s">
        <v>46</v>
      </c>
    </row>
    <row r="1225" spans="1:4" x14ac:dyDescent="0.25">
      <c r="A1225" s="11">
        <v>3473</v>
      </c>
      <c r="B1225" s="10" t="s">
        <v>37</v>
      </c>
      <c r="C1225" s="10" t="s">
        <v>82</v>
      </c>
      <c r="D1225" s="10" t="s">
        <v>46</v>
      </c>
    </row>
    <row r="1226" spans="1:4" x14ac:dyDescent="0.25">
      <c r="A1226" s="11">
        <v>3473</v>
      </c>
      <c r="B1226" s="10" t="s">
        <v>37</v>
      </c>
      <c r="C1226" s="10" t="s">
        <v>82</v>
      </c>
      <c r="D1226" s="10" t="s">
        <v>46</v>
      </c>
    </row>
    <row r="1227" spans="1:4" x14ac:dyDescent="0.25">
      <c r="A1227" s="11">
        <v>3474</v>
      </c>
      <c r="B1227" s="10" t="s">
        <v>37</v>
      </c>
      <c r="C1227" s="10" t="s">
        <v>83</v>
      </c>
      <c r="D1227" s="10" t="s">
        <v>39</v>
      </c>
    </row>
    <row r="1228" spans="1:4" x14ac:dyDescent="0.25">
      <c r="A1228" s="11">
        <v>3474</v>
      </c>
      <c r="B1228" s="10" t="s">
        <v>37</v>
      </c>
      <c r="C1228" s="10" t="s">
        <v>83</v>
      </c>
      <c r="D1228" s="10" t="s">
        <v>39</v>
      </c>
    </row>
    <row r="1229" spans="1:4" x14ac:dyDescent="0.25">
      <c r="A1229" s="11">
        <v>3474</v>
      </c>
      <c r="B1229" s="10" t="s">
        <v>37</v>
      </c>
      <c r="C1229" s="10" t="s">
        <v>83</v>
      </c>
      <c r="D1229" s="10" t="s">
        <v>39</v>
      </c>
    </row>
    <row r="1230" spans="1:4" x14ac:dyDescent="0.25">
      <c r="A1230" s="11">
        <v>3474</v>
      </c>
      <c r="B1230" s="10" t="s">
        <v>37</v>
      </c>
      <c r="C1230" s="10" t="s">
        <v>83</v>
      </c>
      <c r="D1230" s="10" t="s">
        <v>39</v>
      </c>
    </row>
    <row r="1231" spans="1:4" x14ac:dyDescent="0.25">
      <c r="A1231" s="11">
        <v>3474</v>
      </c>
      <c r="B1231" s="10" t="s">
        <v>37</v>
      </c>
      <c r="C1231" s="10" t="s">
        <v>83</v>
      </c>
      <c r="D1231" s="10" t="s">
        <v>39</v>
      </c>
    </row>
    <row r="1232" spans="1:4" x14ac:dyDescent="0.25">
      <c r="A1232" s="11">
        <v>3474</v>
      </c>
      <c r="B1232" s="10" t="s">
        <v>37</v>
      </c>
      <c r="C1232" s="10" t="s">
        <v>83</v>
      </c>
      <c r="D1232" s="10" t="s">
        <v>39</v>
      </c>
    </row>
    <row r="1233" spans="1:4" x14ac:dyDescent="0.25">
      <c r="A1233" s="11">
        <v>3474</v>
      </c>
      <c r="B1233" s="10" t="s">
        <v>37</v>
      </c>
      <c r="C1233" s="10" t="s">
        <v>83</v>
      </c>
      <c r="D1233" s="10" t="s">
        <v>39</v>
      </c>
    </row>
    <row r="1234" spans="1:4" x14ac:dyDescent="0.25">
      <c r="A1234" s="11">
        <v>3474</v>
      </c>
      <c r="B1234" s="10" t="s">
        <v>37</v>
      </c>
      <c r="C1234" s="10" t="s">
        <v>83</v>
      </c>
      <c r="D1234" s="10" t="s">
        <v>39</v>
      </c>
    </row>
    <row r="1235" spans="1:4" x14ac:dyDescent="0.25">
      <c r="A1235" s="11">
        <v>3474</v>
      </c>
      <c r="B1235" s="10" t="s">
        <v>37</v>
      </c>
      <c r="C1235" s="10" t="s">
        <v>83</v>
      </c>
      <c r="D1235" s="10" t="s">
        <v>39</v>
      </c>
    </row>
    <row r="1236" spans="1:4" x14ac:dyDescent="0.25">
      <c r="A1236" s="11">
        <v>3474</v>
      </c>
      <c r="B1236" s="10" t="s">
        <v>37</v>
      </c>
      <c r="C1236" s="10" t="s">
        <v>83</v>
      </c>
      <c r="D1236" s="10" t="s">
        <v>39</v>
      </c>
    </row>
    <row r="1237" spans="1:4" x14ac:dyDescent="0.25">
      <c r="A1237" s="11">
        <v>3474</v>
      </c>
      <c r="B1237" s="10" t="s">
        <v>37</v>
      </c>
      <c r="C1237" s="10" t="s">
        <v>83</v>
      </c>
      <c r="D1237" s="10" t="s">
        <v>39</v>
      </c>
    </row>
    <row r="1238" spans="1:4" x14ac:dyDescent="0.25">
      <c r="A1238" s="11">
        <v>3474</v>
      </c>
      <c r="B1238" s="10" t="s">
        <v>37</v>
      </c>
      <c r="C1238" s="10" t="s">
        <v>83</v>
      </c>
      <c r="D1238" s="10" t="s">
        <v>39</v>
      </c>
    </row>
    <row r="1239" spans="1:4" x14ac:dyDescent="0.25">
      <c r="A1239" s="11">
        <v>3474</v>
      </c>
      <c r="B1239" s="10" t="s">
        <v>37</v>
      </c>
      <c r="C1239" s="10" t="s">
        <v>83</v>
      </c>
      <c r="D1239" s="10" t="s">
        <v>39</v>
      </c>
    </row>
    <row r="1240" spans="1:4" x14ac:dyDescent="0.25">
      <c r="A1240" s="11">
        <v>3474</v>
      </c>
      <c r="B1240" s="10" t="s">
        <v>37</v>
      </c>
      <c r="C1240" s="10" t="s">
        <v>83</v>
      </c>
      <c r="D1240" s="10" t="s">
        <v>39</v>
      </c>
    </row>
    <row r="1241" spans="1:4" x14ac:dyDescent="0.25">
      <c r="A1241" s="11">
        <v>3474</v>
      </c>
      <c r="B1241" s="10" t="s">
        <v>37</v>
      </c>
      <c r="C1241" s="10" t="s">
        <v>83</v>
      </c>
      <c r="D1241" s="10" t="s">
        <v>39</v>
      </c>
    </row>
    <row r="1242" spans="1:4" x14ac:dyDescent="0.25">
      <c r="A1242" s="11">
        <v>3474</v>
      </c>
      <c r="B1242" s="10" t="s">
        <v>37</v>
      </c>
      <c r="C1242" s="10" t="s">
        <v>83</v>
      </c>
      <c r="D1242" s="10" t="s">
        <v>39</v>
      </c>
    </row>
    <row r="1243" spans="1:4" x14ac:dyDescent="0.25">
      <c r="A1243" s="11">
        <v>3474</v>
      </c>
      <c r="B1243" s="10" t="s">
        <v>37</v>
      </c>
      <c r="C1243" s="10" t="s">
        <v>83</v>
      </c>
      <c r="D1243" s="10" t="s">
        <v>39</v>
      </c>
    </row>
    <row r="1244" spans="1:4" x14ac:dyDescent="0.25">
      <c r="A1244" s="11">
        <v>3474</v>
      </c>
      <c r="B1244" s="10" t="s">
        <v>37</v>
      </c>
      <c r="C1244" s="10" t="s">
        <v>83</v>
      </c>
      <c r="D1244" s="10" t="s">
        <v>39</v>
      </c>
    </row>
    <row r="1245" spans="1:4" x14ac:dyDescent="0.25">
      <c r="A1245" s="11">
        <v>3474</v>
      </c>
      <c r="B1245" s="10" t="s">
        <v>37</v>
      </c>
      <c r="C1245" s="10" t="s">
        <v>83</v>
      </c>
      <c r="D1245" s="10" t="s">
        <v>39</v>
      </c>
    </row>
    <row r="1246" spans="1:4" x14ac:dyDescent="0.25">
      <c r="A1246" s="11">
        <v>3474</v>
      </c>
      <c r="B1246" s="10" t="s">
        <v>37</v>
      </c>
      <c r="C1246" s="10" t="s">
        <v>83</v>
      </c>
      <c r="D1246" s="10" t="s">
        <v>39</v>
      </c>
    </row>
    <row r="1247" spans="1:4" x14ac:dyDescent="0.25">
      <c r="A1247" s="11">
        <v>3474</v>
      </c>
      <c r="B1247" s="10" t="s">
        <v>37</v>
      </c>
      <c r="C1247" s="10" t="s">
        <v>83</v>
      </c>
      <c r="D1247" s="10" t="s">
        <v>39</v>
      </c>
    </row>
    <row r="1248" spans="1:4" x14ac:dyDescent="0.25">
      <c r="A1248" s="11">
        <v>3474</v>
      </c>
      <c r="B1248" s="10" t="s">
        <v>37</v>
      </c>
      <c r="C1248" s="10" t="s">
        <v>83</v>
      </c>
      <c r="D1248" s="10" t="s">
        <v>39</v>
      </c>
    </row>
    <row r="1249" spans="1:4" x14ac:dyDescent="0.25">
      <c r="A1249" s="11">
        <v>3474</v>
      </c>
      <c r="B1249" s="10" t="s">
        <v>37</v>
      </c>
      <c r="C1249" s="10" t="s">
        <v>83</v>
      </c>
      <c r="D1249" s="10" t="s">
        <v>39</v>
      </c>
    </row>
    <row r="1250" spans="1:4" x14ac:dyDescent="0.25">
      <c r="A1250" s="11">
        <v>3474</v>
      </c>
      <c r="B1250" s="10" t="s">
        <v>37</v>
      </c>
      <c r="C1250" s="10" t="s">
        <v>83</v>
      </c>
      <c r="D1250" s="10" t="s">
        <v>39</v>
      </c>
    </row>
    <row r="1251" spans="1:4" x14ac:dyDescent="0.25">
      <c r="A1251" s="11">
        <v>3474</v>
      </c>
      <c r="B1251" s="10" t="s">
        <v>37</v>
      </c>
      <c r="C1251" s="10" t="s">
        <v>83</v>
      </c>
      <c r="D1251" s="10" t="s">
        <v>39</v>
      </c>
    </row>
    <row r="1252" spans="1:4" x14ac:dyDescent="0.25">
      <c r="A1252" s="11">
        <v>3474</v>
      </c>
      <c r="B1252" s="10" t="s">
        <v>37</v>
      </c>
      <c r="C1252" s="10" t="s">
        <v>83</v>
      </c>
      <c r="D1252" s="10" t="s">
        <v>39</v>
      </c>
    </row>
    <row r="1253" spans="1:4" x14ac:dyDescent="0.25">
      <c r="A1253" s="11">
        <v>3474</v>
      </c>
      <c r="B1253" s="10" t="s">
        <v>37</v>
      </c>
      <c r="C1253" s="10" t="s">
        <v>83</v>
      </c>
      <c r="D1253" s="10" t="s">
        <v>39</v>
      </c>
    </row>
    <row r="1254" spans="1:4" x14ac:dyDescent="0.25">
      <c r="A1254" s="11">
        <v>3474</v>
      </c>
      <c r="B1254" s="10" t="s">
        <v>37</v>
      </c>
      <c r="C1254" s="10" t="s">
        <v>83</v>
      </c>
      <c r="D1254" s="10" t="s">
        <v>39</v>
      </c>
    </row>
    <row r="1255" spans="1:4" x14ac:dyDescent="0.25">
      <c r="A1255" s="11">
        <v>3474</v>
      </c>
      <c r="B1255" s="10" t="s">
        <v>37</v>
      </c>
      <c r="C1255" s="10" t="s">
        <v>83</v>
      </c>
      <c r="D1255" s="10" t="s">
        <v>39</v>
      </c>
    </row>
    <row r="1256" spans="1:4" x14ac:dyDescent="0.25">
      <c r="A1256" s="11">
        <v>3474</v>
      </c>
      <c r="B1256" s="10" t="s">
        <v>37</v>
      </c>
      <c r="C1256" s="10" t="s">
        <v>83</v>
      </c>
      <c r="D1256" s="10" t="s">
        <v>39</v>
      </c>
    </row>
    <row r="1257" spans="1:4" x14ac:dyDescent="0.25">
      <c r="A1257" s="11">
        <v>3474</v>
      </c>
      <c r="B1257" s="10" t="s">
        <v>37</v>
      </c>
      <c r="C1257" s="10" t="s">
        <v>83</v>
      </c>
      <c r="D1257" s="10" t="s">
        <v>39</v>
      </c>
    </row>
    <row r="1258" spans="1:4" x14ac:dyDescent="0.25">
      <c r="A1258" s="11">
        <v>3474</v>
      </c>
      <c r="B1258" s="10" t="s">
        <v>37</v>
      </c>
      <c r="C1258" s="10" t="s">
        <v>83</v>
      </c>
      <c r="D1258" s="10" t="s">
        <v>39</v>
      </c>
    </row>
    <row r="1259" spans="1:4" x14ac:dyDescent="0.25">
      <c r="A1259" s="11">
        <v>3474</v>
      </c>
      <c r="B1259" s="10" t="s">
        <v>37</v>
      </c>
      <c r="C1259" s="10" t="s">
        <v>83</v>
      </c>
      <c r="D1259" s="10" t="s">
        <v>39</v>
      </c>
    </row>
    <row r="1260" spans="1:4" x14ac:dyDescent="0.25">
      <c r="A1260" s="11">
        <v>3474</v>
      </c>
      <c r="B1260" s="10" t="s">
        <v>37</v>
      </c>
      <c r="C1260" s="10" t="s">
        <v>83</v>
      </c>
      <c r="D1260" s="10" t="s">
        <v>39</v>
      </c>
    </row>
    <row r="1261" spans="1:4" x14ac:dyDescent="0.25">
      <c r="A1261" s="11">
        <v>3474</v>
      </c>
      <c r="B1261" s="10" t="s">
        <v>37</v>
      </c>
      <c r="C1261" s="10" t="s">
        <v>83</v>
      </c>
      <c r="D1261" s="10" t="s">
        <v>39</v>
      </c>
    </row>
    <row r="1262" spans="1:4" x14ac:dyDescent="0.25">
      <c r="A1262" s="11">
        <v>3474</v>
      </c>
      <c r="B1262" s="10" t="s">
        <v>37</v>
      </c>
      <c r="C1262" s="10" t="s">
        <v>83</v>
      </c>
      <c r="D1262" s="10" t="s">
        <v>39</v>
      </c>
    </row>
    <row r="1263" spans="1:4" x14ac:dyDescent="0.25">
      <c r="A1263" s="11">
        <v>3474</v>
      </c>
      <c r="B1263" s="10" t="s">
        <v>37</v>
      </c>
      <c r="C1263" s="10" t="s">
        <v>83</v>
      </c>
      <c r="D1263" s="10" t="s">
        <v>39</v>
      </c>
    </row>
    <row r="1264" spans="1:4" x14ac:dyDescent="0.25">
      <c r="A1264" s="11">
        <v>3474</v>
      </c>
      <c r="B1264" s="10" t="s">
        <v>37</v>
      </c>
      <c r="C1264" s="10" t="s">
        <v>83</v>
      </c>
      <c r="D1264" s="10" t="s">
        <v>39</v>
      </c>
    </row>
    <row r="1265" spans="1:4" x14ac:dyDescent="0.25">
      <c r="A1265" s="11">
        <v>3477</v>
      </c>
      <c r="B1265" s="10" t="s">
        <v>37</v>
      </c>
      <c r="C1265" s="10" t="s">
        <v>84</v>
      </c>
      <c r="D1265" s="10" t="s">
        <v>39</v>
      </c>
    </row>
    <row r="1266" spans="1:4" x14ac:dyDescent="0.25">
      <c r="A1266" s="11">
        <v>3477</v>
      </c>
      <c r="B1266" s="10" t="s">
        <v>37</v>
      </c>
      <c r="C1266" s="10" t="s">
        <v>84</v>
      </c>
      <c r="D1266" s="10" t="s">
        <v>39</v>
      </c>
    </row>
    <row r="1267" spans="1:4" x14ac:dyDescent="0.25">
      <c r="A1267" s="11">
        <v>3477</v>
      </c>
      <c r="B1267" s="10" t="s">
        <v>37</v>
      </c>
      <c r="C1267" s="10" t="s">
        <v>84</v>
      </c>
      <c r="D1267" s="10" t="s">
        <v>39</v>
      </c>
    </row>
    <row r="1268" spans="1:4" x14ac:dyDescent="0.25">
      <c r="A1268" s="11">
        <v>3477</v>
      </c>
      <c r="B1268" s="10" t="s">
        <v>37</v>
      </c>
      <c r="C1268" s="10" t="s">
        <v>84</v>
      </c>
      <c r="D1268" s="10" t="s">
        <v>39</v>
      </c>
    </row>
    <row r="1269" spans="1:4" x14ac:dyDescent="0.25">
      <c r="A1269" s="11">
        <v>3477</v>
      </c>
      <c r="B1269" s="10" t="s">
        <v>37</v>
      </c>
      <c r="C1269" s="10" t="s">
        <v>84</v>
      </c>
      <c r="D1269" s="10" t="s">
        <v>39</v>
      </c>
    </row>
    <row r="1270" spans="1:4" x14ac:dyDescent="0.25">
      <c r="A1270" s="11">
        <v>3477</v>
      </c>
      <c r="B1270" s="10" t="s">
        <v>37</v>
      </c>
      <c r="C1270" s="10" t="s">
        <v>84</v>
      </c>
      <c r="D1270" s="10" t="s">
        <v>39</v>
      </c>
    </row>
    <row r="1271" spans="1:4" x14ac:dyDescent="0.25">
      <c r="A1271" s="11">
        <v>3477</v>
      </c>
      <c r="B1271" s="10" t="s">
        <v>37</v>
      </c>
      <c r="C1271" s="10" t="s">
        <v>84</v>
      </c>
      <c r="D1271" s="10" t="s">
        <v>39</v>
      </c>
    </row>
    <row r="1272" spans="1:4" x14ac:dyDescent="0.25">
      <c r="A1272" s="11">
        <v>3477</v>
      </c>
      <c r="B1272" s="10" t="s">
        <v>37</v>
      </c>
      <c r="C1272" s="10" t="s">
        <v>84</v>
      </c>
      <c r="D1272" s="10" t="s">
        <v>39</v>
      </c>
    </row>
    <row r="1273" spans="1:4" x14ac:dyDescent="0.25">
      <c r="A1273" s="11">
        <v>3477</v>
      </c>
      <c r="B1273" s="10" t="s">
        <v>37</v>
      </c>
      <c r="C1273" s="10" t="s">
        <v>84</v>
      </c>
      <c r="D1273" s="10" t="s">
        <v>39</v>
      </c>
    </row>
    <row r="1274" spans="1:4" x14ac:dyDescent="0.25">
      <c r="A1274" s="11">
        <v>3477</v>
      </c>
      <c r="B1274" s="10" t="s">
        <v>37</v>
      </c>
      <c r="C1274" s="10" t="s">
        <v>84</v>
      </c>
      <c r="D1274" s="10" t="s">
        <v>39</v>
      </c>
    </row>
    <row r="1275" spans="1:4" x14ac:dyDescent="0.25">
      <c r="A1275" s="11">
        <v>3477</v>
      </c>
      <c r="B1275" s="10" t="s">
        <v>37</v>
      </c>
      <c r="C1275" s="10" t="s">
        <v>84</v>
      </c>
      <c r="D1275" s="10" t="s">
        <v>39</v>
      </c>
    </row>
    <row r="1276" spans="1:4" x14ac:dyDescent="0.25">
      <c r="A1276" s="11">
        <v>3477</v>
      </c>
      <c r="B1276" s="10" t="s">
        <v>37</v>
      </c>
      <c r="C1276" s="10" t="s">
        <v>84</v>
      </c>
      <c r="D1276" s="10" t="s">
        <v>39</v>
      </c>
    </row>
    <row r="1277" spans="1:4" x14ac:dyDescent="0.25">
      <c r="A1277" s="11">
        <v>3477</v>
      </c>
      <c r="B1277" s="10" t="s">
        <v>37</v>
      </c>
      <c r="C1277" s="10" t="s">
        <v>84</v>
      </c>
      <c r="D1277" s="10" t="s">
        <v>39</v>
      </c>
    </row>
    <row r="1278" spans="1:4" x14ac:dyDescent="0.25">
      <c r="A1278" s="11">
        <v>3477</v>
      </c>
      <c r="B1278" s="10" t="s">
        <v>37</v>
      </c>
      <c r="C1278" s="10" t="s">
        <v>84</v>
      </c>
      <c r="D1278" s="10" t="s">
        <v>39</v>
      </c>
    </row>
    <row r="1279" spans="1:4" x14ac:dyDescent="0.25">
      <c r="A1279" s="11">
        <v>3477</v>
      </c>
      <c r="B1279" s="10" t="s">
        <v>37</v>
      </c>
      <c r="C1279" s="10" t="s">
        <v>84</v>
      </c>
      <c r="D1279" s="10" t="s">
        <v>39</v>
      </c>
    </row>
    <row r="1280" spans="1:4" x14ac:dyDescent="0.25">
      <c r="A1280" s="11">
        <v>3477</v>
      </c>
      <c r="B1280" s="10" t="s">
        <v>37</v>
      </c>
      <c r="C1280" s="10" t="s">
        <v>84</v>
      </c>
      <c r="D1280" s="10" t="s">
        <v>39</v>
      </c>
    </row>
    <row r="1281" spans="1:4" x14ac:dyDescent="0.25">
      <c r="A1281" s="11">
        <v>3477</v>
      </c>
      <c r="B1281" s="10" t="s">
        <v>37</v>
      </c>
      <c r="C1281" s="10" t="s">
        <v>84</v>
      </c>
      <c r="D1281" s="10" t="s">
        <v>39</v>
      </c>
    </row>
    <row r="1282" spans="1:4" x14ac:dyDescent="0.25">
      <c r="A1282" s="11">
        <v>3477</v>
      </c>
      <c r="B1282" s="10" t="s">
        <v>37</v>
      </c>
      <c r="C1282" s="10" t="s">
        <v>84</v>
      </c>
      <c r="D1282" s="10" t="s">
        <v>39</v>
      </c>
    </row>
    <row r="1283" spans="1:4" x14ac:dyDescent="0.25">
      <c r="A1283" s="11">
        <v>3477</v>
      </c>
      <c r="B1283" s="10" t="s">
        <v>37</v>
      </c>
      <c r="C1283" s="10" t="s">
        <v>84</v>
      </c>
      <c r="D1283" s="10" t="s">
        <v>39</v>
      </c>
    </row>
    <row r="1284" spans="1:4" x14ac:dyDescent="0.25">
      <c r="A1284" s="11">
        <v>3477</v>
      </c>
      <c r="B1284" s="10" t="s">
        <v>37</v>
      </c>
      <c r="C1284" s="10" t="s">
        <v>84</v>
      </c>
      <c r="D1284" s="10" t="s">
        <v>39</v>
      </c>
    </row>
    <row r="1285" spans="1:4" x14ac:dyDescent="0.25">
      <c r="A1285" s="11">
        <v>3477</v>
      </c>
      <c r="B1285" s="10" t="s">
        <v>37</v>
      </c>
      <c r="C1285" s="10" t="s">
        <v>84</v>
      </c>
      <c r="D1285" s="10" t="s">
        <v>39</v>
      </c>
    </row>
    <row r="1286" spans="1:4" x14ac:dyDescent="0.25">
      <c r="A1286" s="11">
        <v>3477</v>
      </c>
      <c r="B1286" s="10" t="s">
        <v>37</v>
      </c>
      <c r="C1286" s="10" t="s">
        <v>84</v>
      </c>
      <c r="D1286" s="10" t="s">
        <v>39</v>
      </c>
    </row>
    <row r="1287" spans="1:4" x14ac:dyDescent="0.25">
      <c r="A1287" s="11">
        <v>3477</v>
      </c>
      <c r="B1287" s="10" t="s">
        <v>37</v>
      </c>
      <c r="C1287" s="10" t="s">
        <v>84</v>
      </c>
      <c r="D1287" s="10" t="s">
        <v>39</v>
      </c>
    </row>
    <row r="1288" spans="1:4" x14ac:dyDescent="0.25">
      <c r="A1288" s="11">
        <v>3477</v>
      </c>
      <c r="B1288" s="10" t="s">
        <v>37</v>
      </c>
      <c r="C1288" s="10" t="s">
        <v>84</v>
      </c>
      <c r="D1288" s="10" t="s">
        <v>39</v>
      </c>
    </row>
    <row r="1289" spans="1:4" x14ac:dyDescent="0.25">
      <c r="A1289" s="11">
        <v>3477</v>
      </c>
      <c r="B1289" s="10" t="s">
        <v>37</v>
      </c>
      <c r="C1289" s="10" t="s">
        <v>84</v>
      </c>
      <c r="D1289" s="10" t="s">
        <v>39</v>
      </c>
    </row>
    <row r="1290" spans="1:4" x14ac:dyDescent="0.25">
      <c r="A1290" s="11">
        <v>3477</v>
      </c>
      <c r="B1290" s="10" t="s">
        <v>37</v>
      </c>
      <c r="C1290" s="10" t="s">
        <v>84</v>
      </c>
      <c r="D1290" s="10" t="s">
        <v>39</v>
      </c>
    </row>
    <row r="1291" spans="1:4" x14ac:dyDescent="0.25">
      <c r="A1291" s="11">
        <v>3455</v>
      </c>
      <c r="B1291" s="10" t="s">
        <v>37</v>
      </c>
      <c r="C1291" s="10" t="s">
        <v>101</v>
      </c>
      <c r="D1291" s="10" t="s">
        <v>39</v>
      </c>
    </row>
    <row r="1292" spans="1:4" x14ac:dyDescent="0.25">
      <c r="A1292" s="11">
        <v>3455</v>
      </c>
      <c r="B1292" s="10" t="s">
        <v>37</v>
      </c>
      <c r="C1292" s="10" t="s">
        <v>101</v>
      </c>
      <c r="D1292" s="10" t="s">
        <v>39</v>
      </c>
    </row>
    <row r="1293" spans="1:4" x14ac:dyDescent="0.25">
      <c r="A1293" s="11">
        <v>3455</v>
      </c>
      <c r="B1293" s="10" t="s">
        <v>37</v>
      </c>
      <c r="C1293" s="10" t="s">
        <v>101</v>
      </c>
      <c r="D1293" s="10" t="s">
        <v>39</v>
      </c>
    </row>
    <row r="1294" spans="1:4" x14ac:dyDescent="0.25">
      <c r="A1294" s="11">
        <v>3455</v>
      </c>
      <c r="B1294" s="10" t="s">
        <v>37</v>
      </c>
      <c r="C1294" s="10" t="s">
        <v>101</v>
      </c>
      <c r="D1294" s="10" t="s">
        <v>39</v>
      </c>
    </row>
    <row r="1295" spans="1:4" x14ac:dyDescent="0.25">
      <c r="A1295" s="11">
        <v>3455</v>
      </c>
      <c r="B1295" s="10" t="s">
        <v>37</v>
      </c>
      <c r="C1295" s="10" t="s">
        <v>101</v>
      </c>
      <c r="D1295" s="10" t="s">
        <v>39</v>
      </c>
    </row>
    <row r="1296" spans="1:4" x14ac:dyDescent="0.25">
      <c r="A1296" s="11">
        <v>3455</v>
      </c>
      <c r="B1296" s="10" t="s">
        <v>37</v>
      </c>
      <c r="C1296" s="10" t="s">
        <v>101</v>
      </c>
      <c r="D1296" s="10" t="s">
        <v>39</v>
      </c>
    </row>
    <row r="1297" spans="1:4" x14ac:dyDescent="0.25">
      <c r="A1297" s="11">
        <v>3455</v>
      </c>
      <c r="B1297" s="10" t="s">
        <v>37</v>
      </c>
      <c r="C1297" s="10" t="s">
        <v>101</v>
      </c>
      <c r="D1297" s="10" t="s">
        <v>39</v>
      </c>
    </row>
    <row r="1298" spans="1:4" x14ac:dyDescent="0.25">
      <c r="A1298" s="11">
        <v>3455</v>
      </c>
      <c r="B1298" s="10" t="s">
        <v>37</v>
      </c>
      <c r="C1298" s="10" t="s">
        <v>101</v>
      </c>
      <c r="D1298" s="10" t="s">
        <v>39</v>
      </c>
    </row>
    <row r="1299" spans="1:4" x14ac:dyDescent="0.25">
      <c r="A1299" s="11">
        <v>3455</v>
      </c>
      <c r="B1299" s="10" t="s">
        <v>37</v>
      </c>
      <c r="C1299" s="10" t="s">
        <v>101</v>
      </c>
      <c r="D1299" s="10" t="s">
        <v>39</v>
      </c>
    </row>
    <row r="1300" spans="1:4" x14ac:dyDescent="0.25">
      <c r="A1300" s="11">
        <v>3455</v>
      </c>
      <c r="B1300" s="10" t="s">
        <v>37</v>
      </c>
      <c r="C1300" s="10" t="s">
        <v>101</v>
      </c>
      <c r="D1300" s="10" t="s">
        <v>39</v>
      </c>
    </row>
    <row r="1301" spans="1:4" x14ac:dyDescent="0.25">
      <c r="A1301" s="11">
        <v>3455</v>
      </c>
      <c r="B1301" s="10" t="s">
        <v>37</v>
      </c>
      <c r="C1301" s="10" t="s">
        <v>101</v>
      </c>
      <c r="D1301" s="10" t="s">
        <v>39</v>
      </c>
    </row>
    <row r="1302" spans="1:4" x14ac:dyDescent="0.25">
      <c r="A1302" s="11">
        <v>3455</v>
      </c>
      <c r="B1302" s="10" t="s">
        <v>37</v>
      </c>
      <c r="C1302" s="10" t="s">
        <v>101</v>
      </c>
      <c r="D1302" s="10" t="s">
        <v>39</v>
      </c>
    </row>
    <row r="1303" spans="1:4" x14ac:dyDescent="0.25">
      <c r="A1303" s="11">
        <v>3455</v>
      </c>
      <c r="B1303" s="10" t="s">
        <v>37</v>
      </c>
      <c r="C1303" s="10" t="s">
        <v>101</v>
      </c>
      <c r="D1303" s="10" t="s">
        <v>39</v>
      </c>
    </row>
    <row r="1304" spans="1:4" x14ac:dyDescent="0.25">
      <c r="A1304" s="11">
        <v>3455</v>
      </c>
      <c r="B1304" s="10" t="s">
        <v>37</v>
      </c>
      <c r="C1304" s="10" t="s">
        <v>101</v>
      </c>
      <c r="D1304" s="10" t="s">
        <v>39</v>
      </c>
    </row>
    <row r="1305" spans="1:4" x14ac:dyDescent="0.25">
      <c r="A1305" s="11">
        <v>3455</v>
      </c>
      <c r="B1305" s="10" t="s">
        <v>37</v>
      </c>
      <c r="C1305" s="10" t="s">
        <v>101</v>
      </c>
      <c r="D1305" s="10" t="s">
        <v>39</v>
      </c>
    </row>
    <row r="1306" spans="1:4" x14ac:dyDescent="0.25">
      <c r="A1306" s="11">
        <v>3455</v>
      </c>
      <c r="B1306" s="10" t="s">
        <v>37</v>
      </c>
      <c r="C1306" s="10" t="s">
        <v>101</v>
      </c>
      <c r="D1306" s="10" t="s">
        <v>39</v>
      </c>
    </row>
    <row r="1307" spans="1:4" x14ac:dyDescent="0.25">
      <c r="A1307" s="11">
        <v>3455</v>
      </c>
      <c r="B1307" s="10" t="s">
        <v>37</v>
      </c>
      <c r="C1307" s="10" t="s">
        <v>101</v>
      </c>
      <c r="D1307" s="10" t="s">
        <v>39</v>
      </c>
    </row>
    <row r="1308" spans="1:4" x14ac:dyDescent="0.25">
      <c r="A1308" s="11">
        <v>3455</v>
      </c>
      <c r="B1308" s="10" t="s">
        <v>37</v>
      </c>
      <c r="C1308" s="10" t="s">
        <v>101</v>
      </c>
      <c r="D1308" s="10" t="s">
        <v>39</v>
      </c>
    </row>
    <row r="1309" spans="1:4" x14ac:dyDescent="0.25">
      <c r="A1309" s="11">
        <v>3455</v>
      </c>
      <c r="B1309" s="10" t="s">
        <v>37</v>
      </c>
      <c r="C1309" s="10" t="s">
        <v>101</v>
      </c>
      <c r="D1309" s="10" t="s">
        <v>39</v>
      </c>
    </row>
    <row r="1310" spans="1:4" x14ac:dyDescent="0.25">
      <c r="A1310" s="11">
        <v>3455</v>
      </c>
      <c r="B1310" s="10" t="s">
        <v>37</v>
      </c>
      <c r="C1310" s="10" t="s">
        <v>101</v>
      </c>
      <c r="D1310" s="10" t="s">
        <v>39</v>
      </c>
    </row>
    <row r="1311" spans="1:4" x14ac:dyDescent="0.25">
      <c r="A1311" s="11">
        <v>3455</v>
      </c>
      <c r="B1311" s="10" t="s">
        <v>37</v>
      </c>
      <c r="C1311" s="10" t="s">
        <v>101</v>
      </c>
      <c r="D1311" s="10" t="s">
        <v>39</v>
      </c>
    </row>
    <row r="1312" spans="1:4" x14ac:dyDescent="0.25">
      <c r="A1312" s="11">
        <v>3455</v>
      </c>
      <c r="B1312" s="10" t="s">
        <v>37</v>
      </c>
      <c r="C1312" s="10" t="s">
        <v>101</v>
      </c>
      <c r="D1312" s="10" t="s">
        <v>39</v>
      </c>
    </row>
    <row r="1313" spans="1:4" x14ac:dyDescent="0.25">
      <c r="A1313" s="11">
        <v>3455</v>
      </c>
      <c r="B1313" s="10" t="s">
        <v>37</v>
      </c>
      <c r="C1313" s="10" t="s">
        <v>101</v>
      </c>
      <c r="D1313" s="10" t="s">
        <v>39</v>
      </c>
    </row>
    <row r="1314" spans="1:4" x14ac:dyDescent="0.25">
      <c r="A1314" s="11">
        <v>3455</v>
      </c>
      <c r="B1314" s="10" t="s">
        <v>37</v>
      </c>
      <c r="C1314" s="10" t="s">
        <v>101</v>
      </c>
      <c r="D1314" s="10" t="s">
        <v>39</v>
      </c>
    </row>
    <row r="1315" spans="1:4" x14ac:dyDescent="0.25">
      <c r="A1315" s="11">
        <v>3455</v>
      </c>
      <c r="B1315" s="10" t="s">
        <v>37</v>
      </c>
      <c r="C1315" s="10" t="s">
        <v>101</v>
      </c>
      <c r="D1315" s="10" t="s">
        <v>39</v>
      </c>
    </row>
    <row r="1316" spans="1:4" x14ac:dyDescent="0.25">
      <c r="A1316" s="11">
        <v>3455</v>
      </c>
      <c r="B1316" s="10" t="s">
        <v>37</v>
      </c>
      <c r="C1316" s="10" t="s">
        <v>101</v>
      </c>
      <c r="D1316" s="10" t="s">
        <v>39</v>
      </c>
    </row>
    <row r="1317" spans="1:4" x14ac:dyDescent="0.25">
      <c r="A1317" s="11">
        <v>3455</v>
      </c>
      <c r="B1317" s="10" t="s">
        <v>37</v>
      </c>
      <c r="C1317" s="10" t="s">
        <v>101</v>
      </c>
      <c r="D1317" s="10" t="s">
        <v>39</v>
      </c>
    </row>
    <row r="1318" spans="1:4" x14ac:dyDescent="0.25">
      <c r="A1318" s="11">
        <v>3455</v>
      </c>
      <c r="B1318" s="10" t="s">
        <v>37</v>
      </c>
      <c r="C1318" s="10" t="s">
        <v>101</v>
      </c>
      <c r="D1318" s="10" t="s">
        <v>39</v>
      </c>
    </row>
    <row r="1319" spans="1:4" x14ac:dyDescent="0.25">
      <c r="A1319" s="11">
        <v>3455</v>
      </c>
      <c r="B1319" s="10" t="s">
        <v>37</v>
      </c>
      <c r="C1319" s="10" t="s">
        <v>101</v>
      </c>
      <c r="D1319" s="10" t="s">
        <v>39</v>
      </c>
    </row>
    <row r="1320" spans="1:4" x14ac:dyDescent="0.25">
      <c r="A1320" s="11">
        <v>3455</v>
      </c>
      <c r="B1320" s="10" t="s">
        <v>37</v>
      </c>
      <c r="C1320" s="10" t="s">
        <v>101</v>
      </c>
      <c r="D1320" s="10" t="s">
        <v>39</v>
      </c>
    </row>
    <row r="1321" spans="1:4" x14ac:dyDescent="0.25">
      <c r="A1321" s="11">
        <v>3455</v>
      </c>
      <c r="B1321" s="10" t="s">
        <v>37</v>
      </c>
      <c r="C1321" s="10" t="s">
        <v>101</v>
      </c>
      <c r="D1321" s="10" t="s">
        <v>39</v>
      </c>
    </row>
    <row r="1322" spans="1:4" x14ac:dyDescent="0.25">
      <c r="A1322" s="11">
        <v>3455</v>
      </c>
      <c r="B1322" s="10" t="s">
        <v>37</v>
      </c>
      <c r="C1322" s="10" t="s">
        <v>101</v>
      </c>
      <c r="D1322" s="10" t="s">
        <v>39</v>
      </c>
    </row>
    <row r="1323" spans="1:4" x14ac:dyDescent="0.25">
      <c r="A1323" s="11">
        <v>3455</v>
      </c>
      <c r="B1323" s="10" t="s">
        <v>37</v>
      </c>
      <c r="C1323" s="10" t="s">
        <v>101</v>
      </c>
      <c r="D1323" s="10" t="s">
        <v>39</v>
      </c>
    </row>
    <row r="1324" spans="1:4" x14ac:dyDescent="0.25">
      <c r="A1324" s="11">
        <v>3455</v>
      </c>
      <c r="B1324" s="10" t="s">
        <v>37</v>
      </c>
      <c r="C1324" s="10" t="s">
        <v>101</v>
      </c>
      <c r="D1324" s="10" t="s">
        <v>39</v>
      </c>
    </row>
    <row r="1325" spans="1:4" x14ac:dyDescent="0.25">
      <c r="A1325" s="11">
        <v>3455</v>
      </c>
      <c r="B1325" s="10" t="s">
        <v>37</v>
      </c>
      <c r="C1325" s="10" t="s">
        <v>101</v>
      </c>
      <c r="D1325" s="10" t="s">
        <v>39</v>
      </c>
    </row>
    <row r="1326" spans="1:4" x14ac:dyDescent="0.25">
      <c r="A1326" s="11">
        <v>3455</v>
      </c>
      <c r="B1326" s="10" t="s">
        <v>37</v>
      </c>
      <c r="C1326" s="10" t="s">
        <v>101</v>
      </c>
      <c r="D1326" s="10" t="s">
        <v>39</v>
      </c>
    </row>
    <row r="1327" spans="1:4" x14ac:dyDescent="0.25">
      <c r="A1327" s="11">
        <v>3474</v>
      </c>
      <c r="B1327" s="10" t="s">
        <v>37</v>
      </c>
      <c r="C1327" s="10" t="s">
        <v>83</v>
      </c>
      <c r="D1327" s="10" t="s">
        <v>39</v>
      </c>
    </row>
    <row r="1328" spans="1:4" x14ac:dyDescent="0.25">
      <c r="A1328" s="11">
        <v>3474</v>
      </c>
      <c r="B1328" s="10" t="s">
        <v>37</v>
      </c>
      <c r="C1328" s="10" t="s">
        <v>83</v>
      </c>
      <c r="D1328" s="10" t="s">
        <v>39</v>
      </c>
    </row>
    <row r="1329" spans="1:4" x14ac:dyDescent="0.25">
      <c r="A1329" s="11">
        <v>3474</v>
      </c>
      <c r="B1329" s="10" t="s">
        <v>37</v>
      </c>
      <c r="C1329" s="10" t="s">
        <v>83</v>
      </c>
      <c r="D1329" s="10" t="s">
        <v>39</v>
      </c>
    </row>
    <row r="1330" spans="1:4" x14ac:dyDescent="0.25">
      <c r="A1330" s="11">
        <v>3474</v>
      </c>
      <c r="B1330" s="10" t="s">
        <v>37</v>
      </c>
      <c r="C1330" s="10" t="s">
        <v>83</v>
      </c>
      <c r="D1330" s="10" t="s">
        <v>39</v>
      </c>
    </row>
    <row r="1331" spans="1:4" x14ac:dyDescent="0.25">
      <c r="A1331" s="11">
        <v>3474</v>
      </c>
      <c r="B1331" s="10" t="s">
        <v>37</v>
      </c>
      <c r="C1331" s="10" t="s">
        <v>83</v>
      </c>
      <c r="D1331" s="10" t="s">
        <v>39</v>
      </c>
    </row>
    <row r="1332" spans="1:4" x14ac:dyDescent="0.25">
      <c r="A1332" s="11">
        <v>3474</v>
      </c>
      <c r="B1332" s="10" t="s">
        <v>37</v>
      </c>
      <c r="C1332" s="10" t="s">
        <v>83</v>
      </c>
      <c r="D1332" s="10" t="s">
        <v>39</v>
      </c>
    </row>
    <row r="1333" spans="1:4" x14ac:dyDescent="0.25">
      <c r="A1333" s="11">
        <v>3474</v>
      </c>
      <c r="B1333" s="10" t="s">
        <v>37</v>
      </c>
      <c r="C1333" s="10" t="s">
        <v>83</v>
      </c>
      <c r="D1333" s="10" t="s">
        <v>39</v>
      </c>
    </row>
    <row r="1334" spans="1:4" x14ac:dyDescent="0.25">
      <c r="A1334" s="11">
        <v>3474</v>
      </c>
      <c r="B1334" s="10" t="s">
        <v>37</v>
      </c>
      <c r="C1334" s="10" t="s">
        <v>83</v>
      </c>
      <c r="D1334" s="10" t="s">
        <v>39</v>
      </c>
    </row>
    <row r="1335" spans="1:4" x14ac:dyDescent="0.25">
      <c r="A1335" s="11">
        <v>3474</v>
      </c>
      <c r="B1335" s="10" t="s">
        <v>37</v>
      </c>
      <c r="C1335" s="10" t="s">
        <v>83</v>
      </c>
      <c r="D1335" s="10" t="s">
        <v>39</v>
      </c>
    </row>
    <row r="1336" spans="1:4" x14ac:dyDescent="0.25">
      <c r="A1336" s="11">
        <v>3474</v>
      </c>
      <c r="B1336" s="10" t="s">
        <v>37</v>
      </c>
      <c r="C1336" s="10" t="s">
        <v>83</v>
      </c>
      <c r="D1336" s="10" t="s">
        <v>39</v>
      </c>
    </row>
    <row r="1337" spans="1:4" x14ac:dyDescent="0.25">
      <c r="A1337" s="11">
        <v>3474</v>
      </c>
      <c r="B1337" s="10" t="s">
        <v>37</v>
      </c>
      <c r="C1337" s="10" t="s">
        <v>83</v>
      </c>
      <c r="D1337" s="10" t="s">
        <v>39</v>
      </c>
    </row>
    <row r="1338" spans="1:4" x14ac:dyDescent="0.25">
      <c r="A1338" s="11">
        <v>3474</v>
      </c>
      <c r="B1338" s="10" t="s">
        <v>37</v>
      </c>
      <c r="C1338" s="10" t="s">
        <v>83</v>
      </c>
      <c r="D1338" s="10" t="s">
        <v>39</v>
      </c>
    </row>
    <row r="1339" spans="1:4" x14ac:dyDescent="0.25">
      <c r="A1339" s="11">
        <v>3474</v>
      </c>
      <c r="B1339" s="10" t="s">
        <v>37</v>
      </c>
      <c r="C1339" s="10" t="s">
        <v>83</v>
      </c>
      <c r="D1339" s="10" t="s">
        <v>39</v>
      </c>
    </row>
    <row r="1340" spans="1:4" x14ac:dyDescent="0.25">
      <c r="A1340" s="11">
        <v>3456</v>
      </c>
      <c r="B1340" s="10" t="s">
        <v>37</v>
      </c>
      <c r="C1340" s="10" t="s">
        <v>102</v>
      </c>
      <c r="D1340" s="10" t="s">
        <v>39</v>
      </c>
    </row>
    <row r="1341" spans="1:4" x14ac:dyDescent="0.25">
      <c r="A1341" s="11">
        <v>3456</v>
      </c>
      <c r="B1341" s="10" t="s">
        <v>37</v>
      </c>
      <c r="C1341" s="10" t="s">
        <v>102</v>
      </c>
      <c r="D1341" s="10" t="s">
        <v>39</v>
      </c>
    </row>
  </sheetData>
  <phoneticPr fontId="2" type="noConversion"/>
  <pageMargins left="0.75" right="0.75" top="1" bottom="1" header="0.5" footer="0.5"/>
  <headerFooter alignWithMargins="0"/>
</worksheet>
</file>

<file path=docProps/CustomMKOP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KProdID">
    <vt:lpwstr>ZMOutlook</vt:lpwstr>
  </property>
  <property fmtid="{D5CDD505-2E9C-101B-9397-08002B2CF9AE}" pid="3" name="SizeBefore">
    <vt:lpwstr>153418</vt:lpwstr>
  </property>
  <property fmtid="{D5CDD505-2E9C-101B-9397-08002B2CF9AE}" pid="4" name="OptimizationTime">
    <vt:lpwstr>20211021_1624</vt:lpwstr>
  </property>
</Propertie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AR_Aging</vt:lpstr>
      <vt:lpstr>AR_Aging_Upload</vt:lpstr>
      <vt:lpstr>AR_Master_Upload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Yubin Song</cp:lastModifiedBy>
  <cp:revision>1</cp:revision>
  <dcterms:modified xsi:type="dcterms:W3CDTF">2021-03-16T02:20:15Z</dcterms:modified>
  <cp:category/>
</cp:coreProperties>
</file>